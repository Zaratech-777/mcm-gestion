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16D5C2EA-3483-4488-ADF1-9828158EF9A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GUIMIENTO" sheetId="1" r:id="rId1"/>
    <sheet name="ETIQUETADO " sheetId="9" r:id="rId2"/>
    <sheet name="CMDB" sheetId="10" r:id="rId3"/>
    <sheet name="HUB´S" sheetId="2" r:id="rId4"/>
    <sheet name="ALMACENES" sheetId="6" r:id="rId5"/>
    <sheet name="MUNICIPIO DE NAUCALPAN" sheetId="8" r:id="rId6"/>
    <sheet name="DISPONIBILIDAD DE PUERTOS EN HU" sheetId="3" r:id="rId7"/>
    <sheet name="CI PARA VENTANAS" sheetId="7" r:id="rId8"/>
    <sheet name="MIGRACION SAN MARTIN OBISPO" sheetId="5" r:id="rId9"/>
    <sheet name="INVENTARIO ATIZAPAN" sheetId="11" r:id="rId10"/>
  </sheets>
  <definedNames>
    <definedName name="_xlnm._FilterDatabase" localSheetId="5" hidden="1">'MUNICIPIO DE NAUCALPAN'!$B$2:$J$55</definedName>
    <definedName name="_xlnm._FilterDatabase" localSheetId="1" hidden="1">'ETIQUETADO '!$A$1:$AA$169</definedName>
    <definedName name="_xlnm._FilterDatabase" localSheetId="0" hidden="1">SEGUIMIENTO!$A$1:$X$302</definedName>
    <definedName name="Z_959EBD5C_A1AB_421F_8F64_C57471E7B964_.wvu.FilterData" localSheetId="0" hidden="1">SEGUIMIENTO!$A$1:$X$189</definedName>
  </definedNames>
  <calcPr calcId="191028"/>
  <customWorkbookViews>
    <customWorkbookView name="Misael" guid="{959EBD5C-A1AB-421F-8F64-C57471E7B964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7" i="1" l="1"/>
  <c r="K357" i="1"/>
  <c r="J356" i="1"/>
  <c r="K356" i="1"/>
  <c r="J354" i="1"/>
  <c r="K354" i="1"/>
  <c r="J355" i="1"/>
  <c r="K355" i="1"/>
  <c r="J353" i="1"/>
  <c r="K353" i="1"/>
  <c r="J352" i="1"/>
  <c r="K352" i="1"/>
  <c r="J351" i="1"/>
  <c r="K351" i="1" s="1"/>
  <c r="J348" i="1"/>
  <c r="K348" i="1" s="1"/>
  <c r="J347" i="1"/>
  <c r="K347" i="1"/>
  <c r="J346" i="1"/>
  <c r="K346" i="1" s="1"/>
  <c r="J340" i="1"/>
  <c r="K340" i="1"/>
  <c r="J339" i="1"/>
  <c r="K339" i="1"/>
  <c r="J338" i="1"/>
  <c r="K338" i="1" s="1"/>
  <c r="J337" i="1"/>
  <c r="K337" i="1" s="1"/>
  <c r="J335" i="1"/>
  <c r="K335" i="1"/>
  <c r="J334" i="1"/>
  <c r="K334" i="1" s="1"/>
  <c r="J330" i="1"/>
  <c r="K330" i="1" s="1"/>
  <c r="J328" i="1"/>
  <c r="K328" i="1" s="1"/>
  <c r="J321" i="1"/>
  <c r="K321" i="1"/>
  <c r="J320" i="1"/>
  <c r="K320" i="1"/>
  <c r="J319" i="1"/>
  <c r="K319" i="1" s="1"/>
  <c r="J318" i="1"/>
  <c r="K318" i="1"/>
  <c r="J317" i="1"/>
  <c r="K317" i="1"/>
  <c r="J316" i="1"/>
  <c r="K316" i="1"/>
  <c r="J315" i="1"/>
  <c r="K315" i="1"/>
  <c r="J314" i="1"/>
  <c r="K314" i="1"/>
  <c r="J313" i="1"/>
  <c r="K313" i="1"/>
  <c r="J312" i="1"/>
  <c r="K312" i="1"/>
  <c r="J311" i="1"/>
  <c r="K311" i="1"/>
  <c r="J310" i="1"/>
  <c r="K310" i="1"/>
  <c r="J309" i="1"/>
  <c r="K309" i="1" s="1"/>
  <c r="J306" i="1"/>
  <c r="K306" i="1"/>
  <c r="J304" i="1"/>
  <c r="K304" i="1"/>
  <c r="J303" i="1"/>
  <c r="K303" i="1"/>
  <c r="J297" i="1"/>
  <c r="K297" i="1"/>
  <c r="J296" i="1"/>
  <c r="K296" i="1"/>
  <c r="J295" i="1"/>
  <c r="K295" i="1"/>
  <c r="J294" i="1"/>
  <c r="K294" i="1"/>
  <c r="J288" i="1"/>
  <c r="K288" i="1"/>
  <c r="J289" i="1"/>
  <c r="K289" i="1"/>
  <c r="J286" i="1"/>
  <c r="K286" i="1"/>
  <c r="J287" i="1"/>
  <c r="K287" i="1"/>
  <c r="J284" i="1"/>
  <c r="K284" i="1"/>
  <c r="J285" i="1"/>
  <c r="K285" i="1"/>
  <c r="J283" i="1"/>
  <c r="K283" i="1"/>
  <c r="J282" i="1"/>
  <c r="K282" i="1"/>
  <c r="J281" i="1"/>
  <c r="K281" i="1"/>
  <c r="J280" i="1"/>
  <c r="K280" i="1"/>
  <c r="J279" i="1"/>
  <c r="K279" i="1"/>
  <c r="J278" i="1"/>
  <c r="K278" i="1"/>
  <c r="J277" i="1"/>
  <c r="K277" i="1"/>
  <c r="J276" i="1"/>
  <c r="K276" i="1"/>
  <c r="J274" i="1"/>
  <c r="K274" i="1"/>
  <c r="J275" i="1"/>
  <c r="K275" i="1"/>
  <c r="J273" i="1"/>
  <c r="K273" i="1"/>
  <c r="J272" i="1"/>
  <c r="K272" i="1"/>
  <c r="J271" i="1"/>
  <c r="K271" i="1"/>
  <c r="J269" i="1"/>
  <c r="K269" i="1"/>
  <c r="J268" i="1"/>
  <c r="K268" i="1"/>
  <c r="J267" i="1"/>
  <c r="K267" i="1"/>
  <c r="J266" i="1"/>
  <c r="K266" i="1"/>
  <c r="J265" i="1"/>
  <c r="K265" i="1"/>
  <c r="J264" i="1"/>
  <c r="K264" i="1"/>
  <c r="J263" i="1"/>
  <c r="K263" i="1"/>
  <c r="J262" i="1"/>
  <c r="K262" i="1"/>
  <c r="J261" i="1"/>
  <c r="K261" i="1"/>
  <c r="J260" i="1"/>
  <c r="K260" i="1"/>
  <c r="J259" i="1"/>
  <c r="K259" i="1"/>
  <c r="J258" i="1"/>
  <c r="K258" i="1"/>
  <c r="J257" i="1"/>
  <c r="K257" i="1"/>
  <c r="J256" i="1"/>
  <c r="K256" i="1"/>
  <c r="J254" i="1"/>
  <c r="K254" i="1"/>
  <c r="J255" i="1"/>
  <c r="K255" i="1"/>
  <c r="J253" i="1"/>
  <c r="K253" i="1"/>
  <c r="J252" i="1"/>
  <c r="K252" i="1"/>
  <c r="J251" i="1"/>
  <c r="K251" i="1"/>
  <c r="J250" i="1"/>
  <c r="K250" i="1"/>
  <c r="J249" i="1"/>
  <c r="K249" i="1"/>
  <c r="J243" i="1"/>
  <c r="K243" i="1"/>
  <c r="J248" i="1"/>
  <c r="K248" i="1"/>
  <c r="J247" i="1"/>
  <c r="K247" i="1"/>
  <c r="J246" i="1"/>
  <c r="K246" i="1"/>
  <c r="J245" i="1"/>
  <c r="K245" i="1"/>
  <c r="J244" i="1"/>
  <c r="K244" i="1"/>
  <c r="J242" i="1"/>
  <c r="K242" i="1"/>
  <c r="J241" i="1"/>
  <c r="K241" i="1"/>
  <c r="J240" i="1"/>
  <c r="K240" i="1"/>
  <c r="J239" i="1"/>
  <c r="K239" i="1"/>
  <c r="J238" i="1"/>
  <c r="K238" i="1"/>
  <c r="J237" i="1"/>
  <c r="K237" i="1"/>
  <c r="J236" i="1"/>
  <c r="K236" i="1"/>
  <c r="J235" i="1"/>
  <c r="K235" i="1"/>
  <c r="J234" i="1"/>
  <c r="K234" i="1"/>
  <c r="J233" i="1"/>
  <c r="K233" i="1"/>
  <c r="J232" i="1"/>
  <c r="K232" i="1"/>
  <c r="J231" i="1"/>
  <c r="K231" i="1"/>
  <c r="J230" i="1"/>
  <c r="K230" i="1"/>
  <c r="J229" i="1"/>
  <c r="K229" i="1"/>
  <c r="J228" i="1"/>
  <c r="K228" i="1"/>
  <c r="J227" i="1"/>
  <c r="K227" i="1"/>
  <c r="J226" i="1"/>
  <c r="K226" i="1"/>
  <c r="J225" i="1"/>
  <c r="K225" i="1"/>
  <c r="J224" i="1"/>
  <c r="K224" i="1"/>
  <c r="J223" i="1"/>
  <c r="K223" i="1"/>
  <c r="J222" i="1"/>
  <c r="K222" i="1"/>
  <c r="J221" i="1"/>
  <c r="K221" i="1"/>
  <c r="J219" i="1"/>
  <c r="K219" i="1"/>
  <c r="J220" i="1"/>
  <c r="K220" i="1"/>
  <c r="J218" i="1"/>
  <c r="K218" i="1"/>
  <c r="J217" i="1"/>
  <c r="K217" i="1"/>
  <c r="J216" i="1"/>
  <c r="K216" i="1"/>
  <c r="J215" i="1"/>
  <c r="K215" i="1"/>
  <c r="J214" i="1"/>
  <c r="K214" i="1"/>
  <c r="J213" i="1"/>
  <c r="K213" i="1"/>
  <c r="J211" i="1"/>
  <c r="K211" i="1"/>
  <c r="J212" i="1"/>
  <c r="K212" i="1"/>
  <c r="J210" i="1"/>
  <c r="K210" i="1"/>
  <c r="J209" i="1"/>
  <c r="K209" i="1"/>
  <c r="J207" i="1"/>
  <c r="K207" i="1"/>
  <c r="J208" i="1"/>
  <c r="K208" i="1"/>
  <c r="J206" i="1"/>
  <c r="K206" i="1"/>
  <c r="J205" i="1"/>
  <c r="K205" i="1"/>
  <c r="J204" i="1"/>
  <c r="K204" i="1"/>
  <c r="J203" i="1"/>
  <c r="K203" i="1"/>
  <c r="J202" i="1"/>
  <c r="K202" i="1"/>
  <c r="J201" i="1"/>
  <c r="K201" i="1"/>
  <c r="J200" i="1"/>
  <c r="K200" i="1"/>
  <c r="J199" i="1"/>
  <c r="K199" i="1"/>
  <c r="J198" i="1"/>
  <c r="K198" i="1"/>
  <c r="J197" i="1"/>
  <c r="K197" i="1"/>
  <c r="J196" i="1"/>
  <c r="K196" i="1"/>
  <c r="J194" i="1"/>
  <c r="K194" i="1"/>
  <c r="J195" i="1"/>
  <c r="K195" i="1"/>
  <c r="J193" i="1"/>
  <c r="K193" i="1"/>
  <c r="J192" i="1"/>
  <c r="K192" i="1"/>
  <c r="J191" i="1"/>
  <c r="K191" i="1"/>
  <c r="J190" i="1"/>
  <c r="K190" i="1"/>
  <c r="J187" i="1"/>
  <c r="K187" i="1"/>
  <c r="J188" i="1"/>
  <c r="K188" i="1"/>
  <c r="J189" i="1"/>
  <c r="K189" i="1"/>
  <c r="J186" i="1"/>
  <c r="K186" i="1"/>
  <c r="J185" i="1"/>
  <c r="K185" i="1"/>
  <c r="J184" i="1"/>
  <c r="K184" i="1"/>
  <c r="J183" i="1"/>
  <c r="K183" i="1"/>
  <c r="J182" i="1"/>
  <c r="K182" i="1"/>
  <c r="J181" i="1"/>
  <c r="K181" i="1"/>
  <c r="J180" i="1"/>
  <c r="K180" i="1"/>
  <c r="J179" i="1"/>
  <c r="J178" i="1"/>
  <c r="K178" i="1"/>
  <c r="J177" i="1"/>
  <c r="K177" i="1"/>
  <c r="J176" i="1"/>
  <c r="K176" i="1"/>
  <c r="J175" i="1"/>
  <c r="K175" i="1"/>
  <c r="J174" i="1"/>
  <c r="K174" i="1"/>
  <c r="J173" i="1"/>
  <c r="K173" i="1"/>
  <c r="J172" i="1"/>
  <c r="K172" i="1"/>
  <c r="J171" i="1"/>
  <c r="K171" i="1"/>
  <c r="J169" i="1"/>
  <c r="K169" i="1"/>
  <c r="J170" i="1"/>
  <c r="K170" i="1"/>
  <c r="J141" i="1"/>
  <c r="J168" i="1"/>
  <c r="K168" i="1"/>
  <c r="J167" i="1"/>
  <c r="K167" i="1"/>
  <c r="J166" i="1"/>
  <c r="K166" i="1"/>
  <c r="J165" i="1"/>
  <c r="K165" i="1"/>
  <c r="J164" i="1"/>
  <c r="K164" i="1"/>
  <c r="J163" i="1"/>
  <c r="K163" i="1"/>
  <c r="J162" i="1"/>
  <c r="K162" i="1"/>
  <c r="J160" i="1"/>
  <c r="K160" i="1"/>
  <c r="J159" i="1"/>
  <c r="K159" i="1"/>
  <c r="J158" i="1"/>
  <c r="K158" i="1"/>
  <c r="J156" i="1"/>
  <c r="K156" i="1"/>
  <c r="J161" i="1"/>
  <c r="K161" i="1"/>
  <c r="J148" i="1"/>
  <c r="J149" i="1"/>
  <c r="J150" i="1"/>
  <c r="J138" i="1"/>
  <c r="J127" i="1"/>
  <c r="J134" i="1"/>
  <c r="K150" i="1"/>
  <c r="K149" i="1"/>
  <c r="K148" i="1"/>
  <c r="K144" i="1"/>
  <c r="J155" i="1"/>
  <c r="K155" i="1"/>
  <c r="J154" i="1"/>
  <c r="K154" i="1"/>
  <c r="J153" i="1"/>
  <c r="K153" i="1"/>
  <c r="J152" i="1"/>
  <c r="K152" i="1"/>
  <c r="J151" i="1"/>
  <c r="K151" i="1"/>
  <c r="J147" i="1"/>
  <c r="K147" i="1"/>
  <c r="K146" i="1"/>
  <c r="K141" i="1"/>
  <c r="J140" i="1"/>
  <c r="K140" i="1"/>
  <c r="J145" i="1"/>
  <c r="K145" i="1"/>
  <c r="Y10" i="3"/>
  <c r="X10" i="3"/>
  <c r="T10" i="3"/>
  <c r="S10" i="3"/>
  <c r="O10" i="3"/>
  <c r="N10" i="3"/>
  <c r="J10" i="3"/>
  <c r="I10" i="3"/>
  <c r="E10" i="3"/>
  <c r="D10" i="3"/>
  <c r="J143" i="1"/>
  <c r="K143" i="1"/>
  <c r="J142" i="1"/>
  <c r="K142" i="1"/>
  <c r="J139" i="1"/>
  <c r="K139" i="1"/>
  <c r="K138" i="1"/>
  <c r="J137" i="1"/>
  <c r="K137" i="1"/>
  <c r="J136" i="1"/>
  <c r="K136" i="1"/>
  <c r="J135" i="1"/>
  <c r="K135" i="1"/>
  <c r="K134" i="1"/>
  <c r="J133" i="1"/>
  <c r="K133" i="1"/>
  <c r="J132" i="1"/>
  <c r="K132" i="1"/>
  <c r="J131" i="1"/>
  <c r="K131" i="1"/>
  <c r="J130" i="1"/>
  <c r="K130" i="1"/>
  <c r="J129" i="1"/>
  <c r="K129" i="1"/>
  <c r="J128" i="1"/>
  <c r="K128" i="1"/>
  <c r="K127" i="1"/>
  <c r="J126" i="1"/>
  <c r="K126" i="1"/>
  <c r="J125" i="1"/>
  <c r="K125" i="1"/>
  <c r="J124" i="1"/>
  <c r="K124" i="1"/>
  <c r="J123" i="1"/>
  <c r="K123" i="1"/>
  <c r="J122" i="1"/>
  <c r="K122" i="1"/>
  <c r="J121" i="1"/>
  <c r="K121" i="1"/>
  <c r="J120" i="1"/>
  <c r="K120" i="1"/>
  <c r="J119" i="1"/>
  <c r="K119" i="1"/>
  <c r="J118" i="1"/>
  <c r="K118" i="1"/>
  <c r="J117" i="1"/>
  <c r="K117" i="1"/>
  <c r="J116" i="1"/>
  <c r="K116" i="1"/>
  <c r="J115" i="1"/>
  <c r="K115" i="1"/>
  <c r="J114" i="1"/>
  <c r="K114" i="1"/>
  <c r="J113" i="1"/>
  <c r="K113" i="1"/>
  <c r="J112" i="1"/>
  <c r="K112" i="1"/>
  <c r="J111" i="1"/>
  <c r="K111" i="1"/>
  <c r="J110" i="1"/>
  <c r="K110" i="1"/>
  <c r="J109" i="1"/>
  <c r="K109" i="1"/>
  <c r="J108" i="1"/>
  <c r="K108" i="1"/>
  <c r="J107" i="1"/>
  <c r="K107" i="1"/>
  <c r="J106" i="1"/>
  <c r="K106" i="1"/>
  <c r="J105" i="1"/>
  <c r="K105" i="1"/>
  <c r="J104" i="1"/>
  <c r="K104" i="1"/>
  <c r="J103" i="1"/>
  <c r="K103" i="1"/>
  <c r="J102" i="1"/>
  <c r="K102" i="1"/>
  <c r="J101" i="1"/>
  <c r="K101" i="1"/>
  <c r="J100" i="1"/>
  <c r="K100" i="1"/>
  <c r="J99" i="1"/>
  <c r="K99" i="1"/>
  <c r="J98" i="1"/>
  <c r="K98" i="1"/>
  <c r="J97" i="1"/>
  <c r="K97" i="1"/>
  <c r="J96" i="1"/>
  <c r="K96" i="1"/>
  <c r="J95" i="1"/>
  <c r="K95" i="1"/>
  <c r="J94" i="1"/>
  <c r="K94" i="1"/>
  <c r="J93" i="1"/>
  <c r="K93" i="1"/>
  <c r="J92" i="1"/>
  <c r="K92" i="1"/>
  <c r="J91" i="1"/>
  <c r="K91" i="1"/>
  <c r="J90" i="1"/>
  <c r="K90" i="1"/>
  <c r="J89" i="1"/>
  <c r="K89" i="1"/>
  <c r="J88" i="1"/>
  <c r="K88" i="1"/>
  <c r="J87" i="1"/>
  <c r="K87" i="1"/>
  <c r="J86" i="1"/>
  <c r="K86" i="1"/>
  <c r="J85" i="1"/>
  <c r="K85" i="1"/>
  <c r="J84" i="1"/>
  <c r="K84" i="1"/>
  <c r="J83" i="1"/>
  <c r="K83" i="1"/>
  <c r="J82" i="1"/>
  <c r="K82" i="1"/>
  <c r="J81" i="1"/>
  <c r="K81" i="1"/>
  <c r="J80" i="1"/>
  <c r="K80" i="1"/>
  <c r="J79" i="1"/>
  <c r="K79" i="1"/>
  <c r="J78" i="1"/>
  <c r="K78" i="1"/>
  <c r="J77" i="1"/>
  <c r="K77" i="1"/>
  <c r="J76" i="1"/>
  <c r="K76" i="1"/>
  <c r="J75" i="1"/>
  <c r="K75" i="1"/>
  <c r="J74" i="1"/>
  <c r="K74" i="1"/>
  <c r="J73" i="1"/>
  <c r="K73" i="1"/>
  <c r="J72" i="1"/>
  <c r="K72" i="1"/>
  <c r="J71" i="1"/>
  <c r="K71" i="1"/>
  <c r="J70" i="1"/>
  <c r="K70" i="1"/>
  <c r="J69" i="1"/>
  <c r="K69" i="1"/>
  <c r="J68" i="1"/>
  <c r="K68" i="1"/>
  <c r="J67" i="1"/>
  <c r="K67" i="1"/>
  <c r="J66" i="1"/>
  <c r="K66" i="1"/>
  <c r="J65" i="1"/>
  <c r="K65" i="1"/>
  <c r="J64" i="1"/>
  <c r="K64" i="1"/>
  <c r="J63" i="1"/>
  <c r="K63" i="1"/>
  <c r="J62" i="1"/>
  <c r="K62" i="1"/>
  <c r="J61" i="1"/>
  <c r="K61" i="1"/>
  <c r="J60" i="1"/>
  <c r="K60" i="1"/>
  <c r="J59" i="1"/>
  <c r="K59" i="1"/>
  <c r="J58" i="1"/>
  <c r="K58" i="1"/>
  <c r="J57" i="1"/>
  <c r="K57" i="1"/>
  <c r="J56" i="1"/>
  <c r="K56" i="1"/>
  <c r="J55" i="1"/>
  <c r="K55" i="1"/>
  <c r="J54" i="1"/>
  <c r="K54" i="1"/>
  <c r="J53" i="1"/>
  <c r="K53" i="1"/>
  <c r="J52" i="1"/>
  <c r="K52" i="1"/>
  <c r="J51" i="1"/>
  <c r="K51" i="1"/>
  <c r="J50" i="1"/>
  <c r="K50" i="1"/>
  <c r="J49" i="1"/>
  <c r="K49" i="1"/>
  <c r="J48" i="1"/>
  <c r="K48" i="1"/>
  <c r="J47" i="1"/>
  <c r="K47" i="1"/>
  <c r="J46" i="1"/>
  <c r="K46" i="1"/>
  <c r="J45" i="1"/>
  <c r="K45" i="1"/>
  <c r="J44" i="1"/>
  <c r="K44" i="1"/>
  <c r="J43" i="1"/>
  <c r="K43" i="1"/>
  <c r="J42" i="1"/>
  <c r="K42" i="1"/>
  <c r="J41" i="1"/>
  <c r="K41" i="1"/>
  <c r="J40" i="1"/>
  <c r="K40" i="1"/>
  <c r="J39" i="1"/>
  <c r="K39" i="1"/>
  <c r="J38" i="1"/>
  <c r="K38" i="1"/>
  <c r="J37" i="1"/>
  <c r="K37" i="1"/>
  <c r="J36" i="1"/>
  <c r="K36" i="1"/>
  <c r="J35" i="1"/>
  <c r="K35" i="1"/>
  <c r="J34" i="1"/>
  <c r="K34" i="1"/>
  <c r="J33" i="1"/>
  <c r="K33" i="1"/>
  <c r="J32" i="1"/>
  <c r="K32" i="1"/>
  <c r="J31" i="1"/>
  <c r="K31" i="1"/>
  <c r="J30" i="1"/>
  <c r="K30" i="1"/>
  <c r="J29" i="1"/>
  <c r="K29" i="1"/>
  <c r="J28" i="1"/>
  <c r="K28" i="1"/>
  <c r="J27" i="1"/>
  <c r="K27" i="1"/>
  <c r="J26" i="1"/>
  <c r="K26" i="1"/>
  <c r="J25" i="1"/>
  <c r="K25" i="1"/>
  <c r="J24" i="1"/>
  <c r="K24" i="1"/>
  <c r="J23" i="1"/>
  <c r="K23" i="1"/>
  <c r="J22" i="1"/>
  <c r="K22" i="1"/>
  <c r="J21" i="1"/>
  <c r="K21" i="1"/>
  <c r="J20" i="1"/>
  <c r="K20" i="1"/>
  <c r="J19" i="1"/>
  <c r="K19" i="1"/>
  <c r="J18" i="1"/>
  <c r="K18" i="1"/>
  <c r="J17" i="1"/>
  <c r="K17" i="1"/>
  <c r="J16" i="1"/>
  <c r="K16" i="1"/>
  <c r="J15" i="1"/>
  <c r="K15" i="1"/>
  <c r="J14" i="1"/>
  <c r="K14" i="1"/>
  <c r="J13" i="1"/>
  <c r="K13" i="1"/>
  <c r="J12" i="1"/>
  <c r="K12" i="1"/>
  <c r="J11" i="1"/>
  <c r="K11" i="1"/>
  <c r="J10" i="1"/>
  <c r="K10" i="1"/>
  <c r="J9" i="1"/>
  <c r="K9" i="1"/>
  <c r="J8" i="1"/>
  <c r="K8" i="1"/>
  <c r="J7" i="1"/>
  <c r="K7" i="1"/>
  <c r="J6" i="1"/>
  <c r="K6" i="1"/>
  <c r="J5" i="1"/>
  <c r="K5" i="1"/>
  <c r="J4" i="1"/>
  <c r="K4" i="1"/>
  <c r="J3" i="1"/>
  <c r="K3" i="1"/>
  <c r="J2" i="1"/>
  <c r="K2" i="1"/>
</calcChain>
</file>

<file path=xl/sharedStrings.xml><?xml version="1.0" encoding="utf-8"?>
<sst xmlns="http://schemas.openxmlformats.org/spreadsheetml/2006/main" count="10546" uniqueCount="2807">
  <si>
    <t>OT</t>
  </si>
  <si>
    <t>CLIENTE</t>
  </si>
  <si>
    <t>Ing. Asignado</t>
  </si>
  <si>
    <t>Tipo de Servicio</t>
  </si>
  <si>
    <t>SUCURSAL</t>
  </si>
  <si>
    <t>Detonado</t>
  </si>
  <si>
    <t>Fecha limite de entrega</t>
  </si>
  <si>
    <t>FECHA DE ENTREGA</t>
  </si>
  <si>
    <t>FECHA DE LIBERACION</t>
  </si>
  <si>
    <t>Dias transcurridos desde la detonación</t>
  </si>
  <si>
    <t>Backlog</t>
  </si>
  <si>
    <t>VISITA DE VALIDACIÓN</t>
  </si>
  <si>
    <t>ADECUACIONES</t>
  </si>
  <si>
    <t>OBRA CIVIL</t>
  </si>
  <si>
    <t>GRUPO DE CONSTRUCCION</t>
  </si>
  <si>
    <t>CONSTRUCCION TERMINADA</t>
  </si>
  <si>
    <t>DIRECCIONAMENTO</t>
  </si>
  <si>
    <t>EQUIPAMIENTO</t>
  </si>
  <si>
    <t>PYOT</t>
  </si>
  <si>
    <t>SERVICIO LIBERADO</t>
  </si>
  <si>
    <t>Estatus</t>
  </si>
  <si>
    <t>Dependencia</t>
  </si>
  <si>
    <t>Responsable</t>
  </si>
  <si>
    <t>Comentarios</t>
  </si>
  <si>
    <t>OT-342824</t>
  </si>
  <si>
    <t>Santander México-CORPORATIVO PATIO + anexo sportium</t>
  </si>
  <si>
    <t>Misael Hernandez</t>
  </si>
  <si>
    <t>IDE 2.0 FO 1000 Mbps + 5 IP´s Públicas fijas MCA /29</t>
  </si>
  <si>
    <t>323 - 3577-2 
323 - 3577-3</t>
  </si>
  <si>
    <t>TERMINADA</t>
  </si>
  <si>
    <t>N/A</t>
  </si>
  <si>
    <t>ACTIVO</t>
  </si>
  <si>
    <t>DIRECCIONAMIENTO GENERADO</t>
  </si>
  <si>
    <t>RETIRADA DE ALMACEN</t>
  </si>
  <si>
    <t>LIBERADO</t>
  </si>
  <si>
    <t>ENTREGADO</t>
  </si>
  <si>
    <t>ACCESOS</t>
  </si>
  <si>
    <t>OT-344903</t>
  </si>
  <si>
    <t>UNITEC ATIZAPAN</t>
  </si>
  <si>
    <t>Recuperación de Equipo</t>
  </si>
  <si>
    <t>CONSTRUCCION</t>
  </si>
  <si>
    <t>OT-340920</t>
  </si>
  <si>
    <t>Renovación + Upgrade(IDE 2.0 FO 1000 Mbps)</t>
  </si>
  <si>
    <t>Pendiente cambio de sucursal de 323 a 63 equpo Rax711</t>
  </si>
  <si>
    <t>OT-344605</t>
  </si>
  <si>
    <t>Pascal Group-Agencia Aduanal Pascal Pensador Mexicano</t>
  </si>
  <si>
    <t>C+ ISA 2.0 300 Mbps</t>
  </si>
  <si>
    <t>323 - 3612-3</t>
  </si>
  <si>
    <t>RETIRADO DE ALMACEN</t>
  </si>
  <si>
    <t>ENTREGA</t>
  </si>
  <si>
    <t>IMPLEMENTACION PLAZA</t>
  </si>
  <si>
    <t>Se devolvio Meraki a Almacen porque cliente queria un Fortinet, en espera de nuevo equipamiento</t>
  </si>
  <si>
    <t>OT-344462</t>
  </si>
  <si>
    <t>Konecranes</t>
  </si>
  <si>
    <t>C+ IDE 2.0 FO 100 Mbps</t>
  </si>
  <si>
    <t>323 - 3617-4</t>
  </si>
  <si>
    <t>OT-346684</t>
  </si>
  <si>
    <t>MARCATEL</t>
  </si>
  <si>
    <t>Misael Hernández</t>
  </si>
  <si>
    <t>LPE Local 100 Mbps</t>
  </si>
  <si>
    <t>CANCELADO</t>
  </si>
  <si>
    <t>OT CANCELADA</t>
  </si>
  <si>
    <t>OT-343071</t>
  </si>
  <si>
    <t>MOTA ENGIL DE MEXICO SA DE CV-PALMAS</t>
  </si>
  <si>
    <t>C+ IDE 2.0 FO 500 Mbps + 29 IP´s Públicas fijas MCA /27</t>
  </si>
  <si>
    <t>401 - 13804-3 
401 - 13804-1</t>
  </si>
  <si>
    <t>OT-339483</t>
  </si>
  <si>
    <t>ILSA FRIGO</t>
  </si>
  <si>
    <t>C+ IDE 2.0 FO 200 Mbps + Licencia WebexPROF + Tk SIP Cloud MCA</t>
  </si>
  <si>
    <t>323 - 3450-7</t>
  </si>
  <si>
    <t>LICENCIAS</t>
  </si>
  <si>
    <t>SE CANCELARAN LAS TS REFERENTES AL WEBEX // SE REQUIERE CLIENTE ENVIA DATOS DE WEBEX</t>
  </si>
  <si>
    <t>OT-347709</t>
  </si>
  <si>
    <t>SECURYTRANS</t>
  </si>
  <si>
    <t>C+ ISA 2.0 100 Mbps +3  WiFi 6 MCA Emp Prem</t>
  </si>
  <si>
    <t>416 - 54371-3</t>
  </si>
  <si>
    <t>Pendiente cambio de sucursal de 63 a 416 equpo Iscom2608</t>
  </si>
  <si>
    <t>OT-344738</t>
  </si>
  <si>
    <t>VNA Group-OFICINAS PRICINPALES</t>
  </si>
  <si>
    <t>UpGrade</t>
  </si>
  <si>
    <t>MCM</t>
  </si>
  <si>
    <t>OT-344742</t>
  </si>
  <si>
    <t>VNA Group-Cambio de Domicilio</t>
  </si>
  <si>
    <t>Cambio de Domicilio</t>
  </si>
  <si>
    <t>OT-344769</t>
  </si>
  <si>
    <t>OT-347405</t>
  </si>
  <si>
    <t>CENTRANEG SA DE CV -NAUCALPAN</t>
  </si>
  <si>
    <t>C+ IDE 2.0 FO 200 Mbps</t>
  </si>
  <si>
    <t>497 -4320-2</t>
  </si>
  <si>
    <t>OT-347678</t>
  </si>
  <si>
    <t>EXEL MEXICANA</t>
  </si>
  <si>
    <t>C+ Internet Conecta FO 50Mbps</t>
  </si>
  <si>
    <t>63 -105990-2</t>
  </si>
  <si>
    <t>EN PROCESO</t>
  </si>
  <si>
    <t>OT-347871</t>
  </si>
  <si>
    <t>INTERNATIONAL HOUSE MEXICO/International House México - SATELITE</t>
  </si>
  <si>
    <t>ISA Emp GP 2.0 500Mbps + Telefonia MCA Ilim Plus</t>
  </si>
  <si>
    <t>497 -4312</t>
  </si>
  <si>
    <t>FECHA ESTIMADA DE LLEGADA DE EQUIPO 13/08/2024 AL FINAL DEL DIA</t>
  </si>
  <si>
    <t>OT-348307</t>
  </si>
  <si>
    <t>Herbalife International de México, S.A. de C.V</t>
  </si>
  <si>
    <t>Internet Premium FO 100Mbps</t>
  </si>
  <si>
    <t>401 - 13917-2</t>
  </si>
  <si>
    <t>OT-348401</t>
  </si>
  <si>
    <t>SRLUZ (MCM)</t>
  </si>
  <si>
    <t>IDE NS FO 1Gbps</t>
  </si>
  <si>
    <t>EN ESPERA DE ENTRAGA POR MCM</t>
  </si>
  <si>
    <t>OT-348363</t>
  </si>
  <si>
    <t xml:space="preserve">Packsys México, S.A. de C.V.
</t>
  </si>
  <si>
    <t>Renovación (Con Equipamiento) + Upgrade</t>
  </si>
  <si>
    <t>323- 2561-2</t>
  </si>
  <si>
    <t>COMERCIAL</t>
  </si>
  <si>
    <t>EN ESPERA DE EQUIPAMIENTO</t>
  </si>
  <si>
    <t>OT-348845</t>
  </si>
  <si>
    <t>Recuperación de equipo</t>
  </si>
  <si>
    <t xml:space="preserve">CLIENTE AUN NO ENTREGA EL EQUIPO </t>
  </si>
  <si>
    <t>OT-344407</t>
  </si>
  <si>
    <t>TELEFÓNICA IXN -CASA LEYTUBELITE DE MÉXICO SA DE CV</t>
  </si>
  <si>
    <t>LPE Nac. Carrier</t>
  </si>
  <si>
    <t>SIN INFORMACION</t>
  </si>
  <si>
    <t>EN PROCESO DE CANCELACION</t>
  </si>
  <si>
    <t>OT-348383</t>
  </si>
  <si>
    <t>KarcherMexico Sa de CV</t>
  </si>
  <si>
    <t>Renovación + Upgrade(C+ Internet Conecta FO 50Mbps)</t>
  </si>
  <si>
    <t>OT-348547</t>
  </si>
  <si>
    <t>OT-349173</t>
  </si>
  <si>
    <t xml:space="preserve">XIAN International SA de CV-CEDIS Vallejo
</t>
  </si>
  <si>
    <t>Cambio de Acometida</t>
  </si>
  <si>
    <t>OT-349125</t>
  </si>
  <si>
    <t>TUBOS MEXICANOS FLEXIBLES SA DE CV- Tlalnepantla</t>
  </si>
  <si>
    <t>ISA Emp GP 2.0 100Mbps + Telefonia MCA Ilim Plus</t>
  </si>
  <si>
    <t>63 - 106984</t>
  </si>
  <si>
    <t>ATD</t>
  </si>
  <si>
    <t>SE PROGRAMA PARA SU ENTREGA</t>
  </si>
  <si>
    <t>OT-349656</t>
  </si>
  <si>
    <t>City Express Plus by Marriott Interlomas</t>
  </si>
  <si>
    <t>Cabezal IP to QAM (SD/HD)</t>
  </si>
  <si>
    <t>323 - 3679-2</t>
  </si>
  <si>
    <t>OT-350219</t>
  </si>
  <si>
    <t>MCM TELECOM-GALAFIL</t>
  </si>
  <si>
    <t>LPE Nac. Carrier 100 Mbps</t>
  </si>
  <si>
    <t>174 - 123969-2</t>
  </si>
  <si>
    <t>SIN GRUPO</t>
  </si>
  <si>
    <t>FOLIO GENERADO</t>
  </si>
  <si>
    <t>OT-350264</t>
  </si>
  <si>
    <t>WATERMELON CONSULTING FIRM SA DE CV</t>
  </si>
  <si>
    <t>Cancelación (Internet Premium FO 500Mbps)</t>
  </si>
  <si>
    <t>OT-349346</t>
  </si>
  <si>
    <t>T5DC SA de CV -OFICINAS CORPORATIVA</t>
  </si>
  <si>
    <t>Renovación (Equipo) + Upgrade(C+ ISA 2.0 300 Mbps)</t>
  </si>
  <si>
    <t>SOC</t>
  </si>
  <si>
    <t>OT-349361</t>
  </si>
  <si>
    <t>T5DC SA de CV</t>
  </si>
  <si>
    <t>Recolección de Equipo</t>
  </si>
  <si>
    <t>OT-348343</t>
  </si>
  <si>
    <t>Terra Fortunata SA de CV ( Trigarante) - Tacuba</t>
  </si>
  <si>
    <t>Renovación (Equipo UTM 1200 disp)+ Upgrade (C+ ISA 2.0 200 Mbps)</t>
  </si>
  <si>
    <t>323 - 2532-2</t>
  </si>
  <si>
    <t>OT-349629</t>
  </si>
  <si>
    <t>Terra Fortunata SA de CV ( Trigarante) -TACUBA</t>
  </si>
  <si>
    <t>323 - 2532</t>
  </si>
  <si>
    <t>OT-350566</t>
  </si>
  <si>
    <t>Terra Fortunata SA de CV ( Trigarante)- TACUBA</t>
  </si>
  <si>
    <t>Renovación + Upgrade (C+ IDE 2.0 FO 100 Mbps)</t>
  </si>
  <si>
    <t>323 - 2549-2</t>
  </si>
  <si>
    <t>OT-351397</t>
  </si>
  <si>
    <t>Terra Fortunata SA de CV ( Trigarante) - TACUBA</t>
  </si>
  <si>
    <t>323 - 2625</t>
  </si>
  <si>
    <t>OT-351442</t>
  </si>
  <si>
    <t>FLUX FINANCIERA</t>
  </si>
  <si>
    <t>Cancelación (ISA Premium FO 100Mbps)</t>
  </si>
  <si>
    <t>323 - 1131-4</t>
  </si>
  <si>
    <t>OT-351805</t>
  </si>
  <si>
    <t>Irkon Holdings SA de CV</t>
  </si>
  <si>
    <t>Cambio de Domicilio (ISA 2.0 300 Mbps)</t>
  </si>
  <si>
    <t>323 - 3445-3</t>
  </si>
  <si>
    <t>AP</t>
  </si>
  <si>
    <t>OT-350939</t>
  </si>
  <si>
    <t>World Ingredients, S.A. de C.V.</t>
  </si>
  <si>
    <t>ISA Premium FO 100 Mbps</t>
  </si>
  <si>
    <t>323 - 3709-2</t>
  </si>
  <si>
    <t>OT-349342</t>
  </si>
  <si>
    <t>BANCO PAGATODO</t>
  </si>
  <si>
    <t>OT-350353</t>
  </si>
  <si>
    <t>TIENDAS SUPER PRECIO SAPI DE CV-Loma Paraíso</t>
  </si>
  <si>
    <t>MCA Negocio 20MB</t>
  </si>
  <si>
    <t>OT-350355</t>
  </si>
  <si>
    <t>TIENDAS SUPER PRECIO SAPI DE CV -México 86</t>
  </si>
  <si>
    <t>OT-349021</t>
  </si>
  <si>
    <t>Nueva Elektra del Milenio S.A. de C.V.-Baz Capta Paseo de las Palmas ECO 4442</t>
  </si>
  <si>
    <t>IDE 2.0 FO 60 Mbps</t>
  </si>
  <si>
    <t>OT-352764</t>
  </si>
  <si>
    <t>Farmacias del Ahorro Corporativo Monterrey -Gustavo Baz 736</t>
  </si>
  <si>
    <t>Cancelación (Internet Conecta FO 10Mbps)</t>
  </si>
  <si>
    <t>OT-352820</t>
  </si>
  <si>
    <t>Farmacias del Ahorro Corporativo Monterrey -Ventiscas 2414</t>
  </si>
  <si>
    <t>Cancelación</t>
  </si>
  <si>
    <t>OT-352774</t>
  </si>
  <si>
    <t>CadenaComercial Oxxo, S.A. de C.V.-10PCK 50RHN CITARA</t>
  </si>
  <si>
    <t>MCA Negocio 50MB</t>
  </si>
  <si>
    <t>PROCESO DE CANCELACION</t>
  </si>
  <si>
    <t>ATD REPORTA QUE EL CLIENTE SE ENCUENTRA FUERA DE COBERTURA</t>
  </si>
  <si>
    <t>OT-353377</t>
  </si>
  <si>
    <t>Nueva Elektra del Milenio S.A. de C.V.-DISTRIBUIDOR ITALIKA COYOACÁN</t>
  </si>
  <si>
    <t>Cancelación(Internet Conecta FO 20Mbps)</t>
  </si>
  <si>
    <t>AGENDADA</t>
  </si>
  <si>
    <t>OT-353790</t>
  </si>
  <si>
    <t>ALFA QUATTRO</t>
  </si>
  <si>
    <t>Cancelación (Equipo ISA Empresa GPON)</t>
  </si>
  <si>
    <t>OT-353380</t>
  </si>
  <si>
    <t>CERILLERA LA CENTRAL</t>
  </si>
  <si>
    <t>Upgrade (C+ IDE 2.0 FO 400 Mbps)</t>
  </si>
  <si>
    <t>OT-350598</t>
  </si>
  <si>
    <t>GRUPO DRAKO -CUPRA LOMAS VERDES</t>
  </si>
  <si>
    <t>Renovación (licencia) + Upgrade (C+ ISA 2.0 100 Mbps)</t>
  </si>
  <si>
    <t>PM</t>
  </si>
  <si>
    <t>OT-354830</t>
  </si>
  <si>
    <t>City Express Junior by Marriott CDMX Sullivan</t>
  </si>
  <si>
    <t>323 - 3758-2</t>
  </si>
  <si>
    <t>OT-353820</t>
  </si>
  <si>
    <t>Daisytek Services de México, S.A. de C.V.-Vallejo</t>
  </si>
  <si>
    <t>Renovación (Equipo) + Upgrade (C+ ISA 2.0 300 Mbps)</t>
  </si>
  <si>
    <t>323 - 710-2</t>
  </si>
  <si>
    <t>OT-352246</t>
  </si>
  <si>
    <t>TELEFÓNICA-IXNTLALNEPANTLA</t>
  </si>
  <si>
    <t>LPE Nac. Carrier 500 Mbps</t>
  </si>
  <si>
    <t>63 - 0</t>
  </si>
  <si>
    <t>OT-348773</t>
  </si>
  <si>
    <t>OLARTE Y AKLE SA DE CV (Zona Esmeralda)</t>
  </si>
  <si>
    <t>IDE 2.0 FO 50 Mbps</t>
  </si>
  <si>
    <t>416-55279-2</t>
  </si>
  <si>
    <t>04/08/2025 --&gt; EN ESPERA DE CONSTRUCCIÓN DEL POSTE ING ENCARGADO BELIO</t>
  </si>
  <si>
    <t>OT-354946</t>
  </si>
  <si>
    <t>ADS LOGIC</t>
  </si>
  <si>
    <t>63 - 110655-2</t>
  </si>
  <si>
    <t>OT-353460</t>
  </si>
  <si>
    <t>BRIGGS EQUIPMENT- Atizapan</t>
  </si>
  <si>
    <t>IDE 2.0 FO 500 Mbps + 5 IP´s Públicas fijas MCA /29</t>
  </si>
  <si>
    <t>63 - 77896-15</t>
  </si>
  <si>
    <t>SIN INFORMACION DE HUB</t>
  </si>
  <si>
    <t>OT CONGELADA, EN ESPERA DE CONFIRMACIÓN DEL CLIENTE PARA VER SI PROSIGUE EL SERVICIO</t>
  </si>
  <si>
    <t>OT-355585</t>
  </si>
  <si>
    <t>ISMO FORTIA SA DE CV- SATELITE</t>
  </si>
  <si>
    <t>C+ ISA 2.0 50 Mbps + TK PREMIUM IP "Promoción 3419"</t>
  </si>
  <si>
    <t>63 - 111436-3 
63 - 111436-5</t>
  </si>
  <si>
    <t>LLAMAR A ANDREA ALEJANDRA HERNÁNDEZ FLORES (TELEFONIA) NOMBRE DEL CLIENTE Y DID PARA QUE VALIDE DESPUES DE QUE CLIENTE CAMBIE LOS PARAMETROS</t>
  </si>
  <si>
    <t>OT-355669</t>
  </si>
  <si>
    <t>TOTAL FARMA SA DE CV</t>
  </si>
  <si>
    <t xml:space="preserve">	
63 - 69776-2</t>
  </si>
  <si>
    <t>OT-352325</t>
  </si>
  <si>
    <t>TELEFÓNICA-IXN TLALNEPANTLA</t>
  </si>
  <si>
    <t>LPE Nac. Carrier 300 Mbps</t>
  </si>
  <si>
    <t>EN ESPERA DE INMERSIÓN DE LA PUNTA REMOTA</t>
  </si>
  <si>
    <t>OT-352357</t>
  </si>
  <si>
    <t>SEGMENTACION JUEVES 12 DIC / ENTREGA VIERNES 13 DIC</t>
  </si>
  <si>
    <t>OT-352387</t>
  </si>
  <si>
    <t>TELEFÓNICA- 09-00086 Angel</t>
  </si>
  <si>
    <t>LPE Nac. Carrier 150 Mbps</t>
  </si>
  <si>
    <t>323 - 3790-2</t>
  </si>
  <si>
    <t>OT-346666</t>
  </si>
  <si>
    <t>AXTEL SAB DE CV -Town Center Villa Nicolas</t>
  </si>
  <si>
    <t>LPE Nac. Carrier 10 Mbps</t>
  </si>
  <si>
    <t>174 - 126534-2</t>
  </si>
  <si>
    <t>OT-356435</t>
  </si>
  <si>
    <t>Praktiko S.A. de C.V.</t>
  </si>
  <si>
    <t>C+ ISA 2.0 200 Mbps</t>
  </si>
  <si>
    <t>416 - 58696-3</t>
  </si>
  <si>
    <t>OT-352598</t>
  </si>
  <si>
    <t>OT-357086</t>
  </si>
  <si>
    <t>BB Cargo Group International S.A. de C.V.</t>
  </si>
  <si>
    <t>Cancelación (Internet Premium FO 100 Mbps + 1 IP Pública fija MCA /30)</t>
  </si>
  <si>
    <t>63 - 68851</t>
  </si>
  <si>
    <t>OT-356443</t>
  </si>
  <si>
    <t>DPWORLD MEXICO</t>
  </si>
  <si>
    <t>C+ IDE 2.0 FO 300 Mbps + 5 IP´s Públicas fijas MCA /29</t>
  </si>
  <si>
    <t>323 - 3802-1 
323 - 3802-3</t>
  </si>
  <si>
    <t>OT-301636</t>
  </si>
  <si>
    <t>GRUPO FINANCIERO BBVA México, S.A. de C.V.</t>
  </si>
  <si>
    <t>416 - 58740-4</t>
  </si>
  <si>
    <t>En espera de Ventana por parte del cliente, para instalar equipos en su Site,</t>
  </si>
  <si>
    <t>OT-301635</t>
  </si>
  <si>
    <t>416-58739</t>
  </si>
  <si>
    <t>OT-355518</t>
  </si>
  <si>
    <t>Transportes Logisticos de Castro</t>
  </si>
  <si>
    <t>416 - 58778-2</t>
  </si>
  <si>
    <t>OT-356852</t>
  </si>
  <si>
    <t>NuevaElektra del Milenio S.A. de C.V- Suzuky Patriotismo CECO 550803 ECO 803</t>
  </si>
  <si>
    <t>OT-357221</t>
  </si>
  <si>
    <t>MCM TELECOM-Decathlon MUNDO E</t>
  </si>
  <si>
    <t>LPE Nac. Carrier 200 Mbps</t>
  </si>
  <si>
    <t>63 - 112563-2</t>
  </si>
  <si>
    <t>OT-357594</t>
  </si>
  <si>
    <t>GARROM LLANTERA SA DE CV- AEROPUERTO</t>
  </si>
  <si>
    <t>C+ Internet Conecta FO 100Mbps</t>
  </si>
  <si>
    <t>323 - 3828-28</t>
  </si>
  <si>
    <t>OT-356629</t>
  </si>
  <si>
    <t>Sistemas Kinedyne México</t>
  </si>
  <si>
    <t>Upgrade (C+ IDE 2.0 FO 200 Mbps + 5 IP´s Públicas fijas MCA /29)</t>
  </si>
  <si>
    <t>63 - 75328-2 
63 - 75328-4</t>
  </si>
  <si>
    <t>OT-357002</t>
  </si>
  <si>
    <t>Sistemas Kinedyne México- Rec Eq</t>
  </si>
  <si>
    <t>Recuperación de Equipo (Equipo UTM)</t>
  </si>
  <si>
    <t>63 - 75328</t>
  </si>
  <si>
    <t>OT-357549</t>
  </si>
  <si>
    <t>GARROM LLANTERA SA DE CV</t>
  </si>
  <si>
    <t>WEBEX (50 teléfonos 6821)</t>
  </si>
  <si>
    <t>323 - 3828</t>
  </si>
  <si>
    <t>OT-359248</t>
  </si>
  <si>
    <t>PROCESADORES Y PARTES EN RETAIL S DE RL DE CV</t>
  </si>
  <si>
    <t>Cambio de Domicilio (Internet Conecta FO 50Mbps + UTM)</t>
  </si>
  <si>
    <t>497 - 4927-2</t>
  </si>
  <si>
    <t>OT-360158</t>
  </si>
  <si>
    <t>ALIMENTOS SELLO ROJO</t>
  </si>
  <si>
    <t>Recuperacion de equipo</t>
  </si>
  <si>
    <t>OT-360452</t>
  </si>
  <si>
    <t>SitWifi (COMEX EL MOLINITO)</t>
  </si>
  <si>
    <t>2.0Int.Ded Carrier50Mbps</t>
  </si>
  <si>
    <t>497-4971-2</t>
  </si>
  <si>
    <t>EN ESPERA DE ACCESO</t>
  </si>
  <si>
    <t>17/12/2024 -&gt; Cliente solicita poner el proyecto en standbye</t>
  </si>
  <si>
    <t>OT-360273</t>
  </si>
  <si>
    <t>GRUPO ROM</t>
  </si>
  <si>
    <t>Renovación(equipo) + Upgrade(C+ ISA 2.0 300 Mbps)</t>
  </si>
  <si>
    <t>323 - 2067-2</t>
  </si>
  <si>
    <t>EN TRANSITO</t>
  </si>
  <si>
    <t>OT-360502</t>
  </si>
  <si>
    <t>GRUPO ROM- Rec Eq</t>
  </si>
  <si>
    <t>Recuperación de Equipo (Equipo UTM ISA 200Mbps)</t>
  </si>
  <si>
    <t>OT-360503</t>
  </si>
  <si>
    <t>OT-359294</t>
  </si>
  <si>
    <t>Transportes Americanos</t>
  </si>
  <si>
    <t>Internet Negocio 1 Gbps + Telefonia Neg Ilim Plus</t>
  </si>
  <si>
    <t>OT-361753</t>
  </si>
  <si>
    <t>MAQUE CAFÉ SA DE CV-Cto Cirujanos</t>
  </si>
  <si>
    <t>Renovación(licencia) + Upgrade(C+ ISA 2.0 200 Mbps)</t>
  </si>
  <si>
    <t>OT-363988</t>
  </si>
  <si>
    <t>METRIX laboratorios S.A de C.V.</t>
  </si>
  <si>
    <t>Renovación(licencia) + Upgrade(C+ ISA 2.0 100 Mbps)</t>
  </si>
  <si>
    <t>OT-363852</t>
  </si>
  <si>
    <t>FARMA &amp; TECNO VIGILANCIA AM</t>
  </si>
  <si>
    <t>Cancelación (Internet Premium FO 20Mbps + Equipamiento)</t>
  </si>
  <si>
    <t>OT-359347</t>
  </si>
  <si>
    <t>ELECSA</t>
  </si>
  <si>
    <t>CLIENTE SE ENCUENTRA DE VACACIONES HASTA 6 DE ENERO</t>
  </si>
  <si>
    <t>OT-365098</t>
  </si>
  <si>
    <t>VERIZON-KIO INTERLOMAS (CENTRO DEDATOS MEX | 4 )</t>
  </si>
  <si>
    <t>LPE Nac. Carrier 10 GB</t>
  </si>
  <si>
    <t>323 - 0</t>
  </si>
  <si>
    <t>OT-361458</t>
  </si>
  <si>
    <t>Tecnológico de Estudios Superiores de Cuautitlán Izcalli TESCI - IDE</t>
  </si>
  <si>
    <t>IDE 2.0 FO 1000 Mbps</t>
  </si>
  <si>
    <t>323 - 3873-2</t>
  </si>
  <si>
    <t>OT-361471</t>
  </si>
  <si>
    <t>Tecnológico de Estudios Superiores de Cuautitlán Izcalli TESCI- Cableado Estructurado</t>
  </si>
  <si>
    <t>Cableado Estructurado cableado UTP para 240 nodos</t>
  </si>
  <si>
    <t>OT-361492</t>
  </si>
  <si>
    <t>Tecnológico de Estudios Superiores de Cuautitlán Izcalli TESCI- WEBEX</t>
  </si>
  <si>
    <t>WEBEX (50 básicas + 30 profesionales) + Equipamiento Especial( 70 telefonos 6821 + 10 telefonos 8851 + 18 Catalys C1300-24P-4Gt + 110 APS MR28+ 1 FW 3110 + 20 computadoras Alienware NB AM16 R2  + 20 Lap Top ProBook 460 G11</t>
  </si>
  <si>
    <t>323 - 3873</t>
  </si>
  <si>
    <t>SIN GUIA</t>
  </si>
  <si>
    <t>OT-361437</t>
  </si>
  <si>
    <t>GRUPO POSADAS-FA MEXICO TOREO</t>
  </si>
  <si>
    <t>Renovación + Upgrade(Canales Aéreos - Cabezal IP to QAM)</t>
  </si>
  <si>
    <t>63 - 36754-4</t>
  </si>
  <si>
    <t>IMPLEMENTACION CORPORATIVO</t>
  </si>
  <si>
    <t>11/02/2026 SE OBSERVA EN ESTADO HOLD</t>
  </si>
  <si>
    <t>OT-365766</t>
  </si>
  <si>
    <t>TELCOPS  Circuito Centro Comercial</t>
  </si>
  <si>
    <t>323 - 2869-2</t>
  </si>
  <si>
    <t>OT-365779</t>
  </si>
  <si>
    <t>Autocom Gamma-BYD SANTA MONICA</t>
  </si>
  <si>
    <t>63 - 116514-2</t>
  </si>
  <si>
    <t>OT-367208</t>
  </si>
  <si>
    <t>PROVERSA-PLANTA MINATITLAN</t>
  </si>
  <si>
    <t>Upgrade(C+ ISA 2.0 200 Mbps)</t>
  </si>
  <si>
    <t>63 - 652254-2</t>
  </si>
  <si>
    <t>OT-367221</t>
  </si>
  <si>
    <t>PROVERSA - TKSIP</t>
  </si>
  <si>
    <t>TK PREMIUM IP</t>
  </si>
  <si>
    <t>63 - 103921-5</t>
  </si>
  <si>
    <t>15/04/2025 --&gt; ENTREGA PROGRAMADA PARA EL 22 DE ABRIL A LAS 13:00 HRS</t>
  </si>
  <si>
    <t>OT-367224</t>
  </si>
  <si>
    <t>PROVERSA - CAmb Dom</t>
  </si>
  <si>
    <t>Cambio de Domicilio(C+ ISA 2.0 200 Mbps)</t>
  </si>
  <si>
    <t>63 - 103921</t>
  </si>
  <si>
    <t>OT-366464</t>
  </si>
  <si>
    <t>Motel Pasadena</t>
  </si>
  <si>
    <t>Cabezal IP to QAM (SD)</t>
  </si>
  <si>
    <t>417 - 46038-1</t>
  </si>
  <si>
    <t>OT-367619</t>
  </si>
  <si>
    <t>Litoprocess, S.A. de C.V.</t>
  </si>
  <si>
    <t>323 - 1893-2</t>
  </si>
  <si>
    <t>OT-367919</t>
  </si>
  <si>
    <t>Vetalia-Satelite</t>
  </si>
  <si>
    <t>497 - 5267</t>
  </si>
  <si>
    <t>OT-368020</t>
  </si>
  <si>
    <t>GRUPO BERICAP MEXICO S DE RL DE CV</t>
  </si>
  <si>
    <t>C+ IDE 2.0 FO 300 Mbps</t>
  </si>
  <si>
    <t>63 - 49229- 43</t>
  </si>
  <si>
    <t>OT-369616</t>
  </si>
  <si>
    <t>Valente Ruiz</t>
  </si>
  <si>
    <t>Cancelación (Internet Conecta FO 50Mbps)</t>
  </si>
  <si>
    <t xml:space="preserve">Se recuperan equipos de cliente </t>
  </si>
  <si>
    <t>OT-361450</t>
  </si>
  <si>
    <t>GRUPO POSADAS-FI CUAUTITLÁN</t>
  </si>
  <si>
    <t>63 - 53052-3</t>
  </si>
  <si>
    <t>OT-370004</t>
  </si>
  <si>
    <t>TELEFÓNICA-BBVA Atizapán en LE1</t>
  </si>
  <si>
    <t>416 - 63889-2</t>
  </si>
  <si>
    <t>OT-369580</t>
  </si>
  <si>
    <t>GRAND RAPIDS- KAWASAKI LOMAS VERDES - LPE</t>
  </si>
  <si>
    <t>LPE Nacional 100 Mbps</t>
  </si>
  <si>
    <t>497 - 5330-2</t>
  </si>
  <si>
    <t>OT-369895</t>
  </si>
  <si>
    <t>Obelisco Digital SA de CV</t>
  </si>
  <si>
    <t>Cambio de domicilio</t>
  </si>
  <si>
    <t>323 3636 3</t>
  </si>
  <si>
    <t>AP-056884</t>
  </si>
  <si>
    <t>BACHOCO SA DE CV- Gustavo Baz</t>
  </si>
  <si>
    <t>EN APROBACION</t>
  </si>
  <si>
    <t>OT-368063</t>
  </si>
  <si>
    <t>Tata Communications</t>
  </si>
  <si>
    <t>517 - 29033-2</t>
  </si>
  <si>
    <t>15/04/2025 --&gt; EN ESPERA DE QUE CORPO RETIRE ETIQUETA DEL PATH || SUCURSAL 517 COACALCO -  DEPENDE DE LA SUCURSAL DE TULTITLAN</t>
  </si>
  <si>
    <t>OT-369596</t>
  </si>
  <si>
    <t>Europan SA de CV</t>
  </si>
  <si>
    <t>IDE 2.0 FO 300 Mbps + TK PREMIUM IP "Promoción 3419</t>
  </si>
  <si>
    <t>323 - 3951-2 
323 - 3951-3</t>
  </si>
  <si>
    <t>15/04/2025 --&gt; ENTREGA PROGRAMADA 21 DE ABRIL A LAS 11:00 AM</t>
  </si>
  <si>
    <t>OT-370924</t>
  </si>
  <si>
    <t>Cristales Automotrices - Av. Convento de Santa Mónica</t>
  </si>
  <si>
    <t>63–119467-2</t>
  </si>
  <si>
    <t>15/04/2025 --&gt; ENTREGA PROGRAMADA 16 DE ABRIL A LAS 11:00 AM</t>
  </si>
  <si>
    <t>OT-369239</t>
  </si>
  <si>
    <t>Operadora Logística SIT, S.A. de C.V.</t>
  </si>
  <si>
    <t>417-47324-2</t>
  </si>
  <si>
    <t>15/04/2025 --&gt; SE SOLICITA PYOT EN ESPERA DE PERMISO PARA TRABAJAR DENTRO DEL PARQUE</t>
  </si>
  <si>
    <t>AP-057221</t>
  </si>
  <si>
    <t>Municipio de Naucalpan de Juarez / Palacio Municipal</t>
  </si>
  <si>
    <t>ANTEPROYECTO</t>
  </si>
  <si>
    <t>AGENDADO 28 / MARZO / 2025 || 11:00 AM</t>
  </si>
  <si>
    <t>OT-371501</t>
  </si>
  <si>
    <t>ARGUZ DIGITALIZACION</t>
  </si>
  <si>
    <t>Cancelación (1 IP Pública fija MCA /30 + TK PREMIUM IP +ISA Premium FO 100Mbps)</t>
  </si>
  <si>
    <t>AGENDADO 31 / MARZO / 2025 || 11:00 AM</t>
  </si>
  <si>
    <t>OT-368971</t>
  </si>
  <si>
    <t>DROGUERÍA COSMOPOLITA SA DE CV -Bodega Atenco</t>
  </si>
  <si>
    <t>C+ Internet Conecta FO 50Mbps + TK PREMIUM IP "Promoción 3419"</t>
  </si>
  <si>
    <t>323 - 3964-2 
323 - 3964-3</t>
  </si>
  <si>
    <t>19/05/2025 --&gt; SE REQUIERE AGENDAR UNA VM A GUSTAVO BAZ PARA REVISION DE CORTE || 15/04/2025 --&gt; SE ENTREGA OADM DEMUX A HUGO MARQUEZ PARA CONTINUAR CON LA CONSTRUCCIÓN || AGENDADO 28 / MARZO / 2025 || 13:00 AM</t>
  </si>
  <si>
    <t>OT-370895</t>
  </si>
  <si>
    <t>Cristales Automotrices SA de CV</t>
  </si>
  <si>
    <t>323 - 3959-2</t>
  </si>
  <si>
    <t>19/05/2025 --&gt; SE REQUIERE AGENDAR UNA VM A TEYAHUALCO PARA REVISION DE CORTE || AGENDADO 31 / MARZO / 2025 || 13:00 AM</t>
  </si>
  <si>
    <t>OT-371889</t>
  </si>
  <si>
    <t>Ferguez (Consorcio Inmobiliario Fernandez, SA de CV)</t>
  </si>
  <si>
    <t>CAncelacion</t>
  </si>
  <si>
    <t>214 - 7512</t>
  </si>
  <si>
    <t>OT-371612</t>
  </si>
  <si>
    <t>BACHOCO SA DE CV- CEDIS TLALNEPNTLA</t>
  </si>
  <si>
    <t>IDE 2.0 FO 100 Mbps</t>
  </si>
  <si>
    <t>63 - 119974-2</t>
  </si>
  <si>
    <t>EN ESPERA DE QUE CORPORATIVO RETIRE ETIQUETA "GIM" PARA SU LIBERACIÓN</t>
  </si>
  <si>
    <t>OT-368512</t>
  </si>
  <si>
    <t>LA NEGRITA - SEGUNDA SUR</t>
  </si>
  <si>
    <t>323 - 3966-2</t>
  </si>
  <si>
    <t>19/05/2025 --&gt; SE ESTAN TERMINANDO CONTINUIDADES || 02/05/2025 --&gt; EN ESPERA DE QUE ARMER PROPONGA FECHA PARA INICIAR ADECUACIONES</t>
  </si>
  <si>
    <t>OT-371236</t>
  </si>
  <si>
    <t>DC MAYORISTA / OPERADORA DE SOLUCIONES PARA OFICINA SA DE CV</t>
  </si>
  <si>
    <t>Renovación(C+ ISA 2.0 200 Mbps+5 IP´s Públicas fijas MCA /29) + Equipamiento(Equipo UTM 50 disp)</t>
  </si>
  <si>
    <t>323 - 846</t>
  </si>
  <si>
    <t>OT-372767</t>
  </si>
  <si>
    <t>3TI SA de CV (OT-372767 // 3TI SA de CV)</t>
  </si>
  <si>
    <t>Cancelación (ISA Premium FO 20Mbps)</t>
  </si>
  <si>
    <t>323 - 1881</t>
  </si>
  <si>
    <t xml:space="preserve">OT-371881 </t>
  </si>
  <si>
    <t>KarcherMexico Sa de CV -Cuautitlan</t>
  </si>
  <si>
    <t>417 - 8157</t>
  </si>
  <si>
    <t>OT-371251</t>
  </si>
  <si>
    <t>Haciendade los Morales / Operadora Vazquez de Mella SA de CV</t>
  </si>
  <si>
    <t>Renovación + Upgrade 400 M</t>
  </si>
  <si>
    <t>323 - 2047-2</t>
  </si>
  <si>
    <t>EN ESPERA DE CONFIRMACION DE CORPORATIVO</t>
  </si>
  <si>
    <t>OT-373068</t>
  </si>
  <si>
    <t>Shopee - SPMX (OT-373068 // Shopee - SPMX)</t>
  </si>
  <si>
    <t>Cancelacion</t>
  </si>
  <si>
    <t>OT-371681</t>
  </si>
  <si>
    <t>PAS-HQ (OT-371681 // PAS-HQ)</t>
  </si>
  <si>
    <t>C+ Internet Conecta FO 20Mbps</t>
  </si>
  <si>
    <t>323 - 3968 -2</t>
  </si>
  <si>
    <t>EN ALMACEN</t>
  </si>
  <si>
    <t>OT-372028</t>
  </si>
  <si>
    <t>TECHCOMM WIRELESS</t>
  </si>
  <si>
    <t>Cambio de Domicilio ( Internet Premium FO 500Mbps +13 IP´s Públicas fijas MCA /28)</t>
  </si>
  <si>
    <t>323 - 2978</t>
  </si>
  <si>
    <t>OT-360425</t>
  </si>
  <si>
    <t>Comercializadora De Productos Institucionales CPI - Entrega Equipo</t>
  </si>
  <si>
    <t>C+ ISA 2.0 100 Mbps + 1 IP Pública fija MCA /30</t>
  </si>
  <si>
    <t>63 - 119999-3
63 - 119999- 4</t>
  </si>
  <si>
    <t>02/05/2025 --&gt; EN ESPERA DE RESOLUCIÓN POR PARTE DE COMPRAS PARA ENTREGAR EL SERVICIO EN PUERTO OPTICO || 15/04/2025 --&gt; EN ESPERA DE ENTREGA POR PARTE DE MCM. SE SOLICITO GUIA A ALMACEN</t>
  </si>
  <si>
    <t>OT-373180</t>
  </si>
  <si>
    <t>VERIZON-NNIKIO INTERLOMAS</t>
  </si>
  <si>
    <t>LPE Local 50Mbps</t>
  </si>
  <si>
    <t>07/07/2025 --&gt; EN ESPERA DE QUE LA OTRA PUNTA DE LA IXN CONFIRME LA CONSTRUCCIÓN DEL MEDIO</t>
  </si>
  <si>
    <t>OT-371917</t>
  </si>
  <si>
    <t>TUMSA/TRANSPORTISTAS UNIDOS DE MORELOS, S.A. DE C.V.</t>
  </si>
  <si>
    <t>417 - 47495</t>
  </si>
  <si>
    <t>en espera de entregar el equipo fortinet, el cliente se encuentra de vacaciones y no ha podido recibir</t>
  </si>
  <si>
    <t>OT-367302</t>
  </si>
  <si>
    <t>GRUPO LOGISTICO INTEGRAL</t>
  </si>
  <si>
    <t>456 - 54154-2</t>
  </si>
  <si>
    <t>en espera de saber si el cliente aun requiere el servicio</t>
  </si>
  <si>
    <t>OT-373693</t>
  </si>
  <si>
    <t>GRUPOLOGISTICO PROGRESO</t>
  </si>
  <si>
    <t>ISA Emp GP 2.0 500Mbps + Telefonia MCA Ilim Plus + WiFi 6 MCA Emp Prem</t>
  </si>
  <si>
    <t xml:space="preserve">417 - 47918 </t>
  </si>
  <si>
    <t>OT-326917</t>
  </si>
  <si>
    <t>First Cash S.A. de C.V. -3322 First Cash</t>
  </si>
  <si>
    <t>Internet Negocio 100 Mbps + Telefonia Neg Ilim Plus</t>
  </si>
  <si>
    <t>174 - 132429</t>
  </si>
  <si>
    <t>OT-326963</t>
  </si>
  <si>
    <t>First Cash S.A. de C.V.-4319 Prenda Mex</t>
  </si>
  <si>
    <t>174 - 132433</t>
  </si>
  <si>
    <t>OT-370219</t>
  </si>
  <si>
    <t>Centro Metropolitano para Prevención de la Contaminación y Gestión Integral</t>
  </si>
  <si>
    <t>ISA 2.0 500 Mbps</t>
  </si>
  <si>
    <t>497 - 5511-2</t>
  </si>
  <si>
    <t>OT-373913</t>
  </si>
  <si>
    <t>Fenix Servicios Aduanales</t>
  </si>
  <si>
    <t>497-5546</t>
  </si>
  <si>
    <t>OT-374399</t>
  </si>
  <si>
    <t>Tata Communications- Tultitlán</t>
  </si>
  <si>
    <t>Cambio de Configuración</t>
  </si>
  <si>
    <t>19/05/2025 --&gt; EN ESPERA DE ACCESO PROPUESTO PARA EL 26 DE MAYO || 02/05/2025 --&gt; EN ESPERA DE ACCESO, SE PROPUSIERON PARA HOY Y SE REAGENDO PARA EL MARTES 6 DE MAYO</t>
  </si>
  <si>
    <t>OT-374073</t>
  </si>
  <si>
    <t>Corporativo Android de México S. de R.L. de C.V.</t>
  </si>
  <si>
    <t>Cancelación (Equipo UTM ISA 50Mbps)</t>
  </si>
  <si>
    <t>OT-374440</t>
  </si>
  <si>
    <t>TROOP Y COMPAÑIA</t>
  </si>
  <si>
    <t>ISA 2.0 100 Mbps + TK PREMIUM IP</t>
  </si>
  <si>
    <t>401-16394-2</t>
  </si>
  <si>
    <t>OT-373658</t>
  </si>
  <si>
    <t>Nexgen Networks -9204</t>
  </si>
  <si>
    <t>CANCELACION</t>
  </si>
  <si>
    <t>323-1134</t>
  </si>
  <si>
    <t>SIN AGENDAR</t>
  </si>
  <si>
    <t>OT-374491</t>
  </si>
  <si>
    <t>EXEL AIR S DE RL DE CV - Camb Acom</t>
  </si>
  <si>
    <t>Cambio de Acometida(Internet Conecta FO 50Mbps)</t>
  </si>
  <si>
    <t>OT-373819</t>
  </si>
  <si>
    <t>FRENELSA MÉXICO</t>
  </si>
  <si>
    <t>Cambio de Domicilio (C+ Internet Conecta FO 20Mbps + Equipo )</t>
  </si>
  <si>
    <t xml:space="preserve">	
323 - 2473-2</t>
  </si>
  <si>
    <t>19/05/2025 --&gt; SE SOLICITA FOLIO DE DIRECCIONAMIENTO</t>
  </si>
  <si>
    <t>OT-374078</t>
  </si>
  <si>
    <t>CIISTEC-MR77</t>
  </si>
  <si>
    <t>IDE 2.0 FO 200 Mbps</t>
  </si>
  <si>
    <t>417 - 48337-2</t>
  </si>
  <si>
    <t>OT-370964</t>
  </si>
  <si>
    <t>MERCADO LIBRE (MCM)-Vesta Park Punta Norte</t>
  </si>
  <si>
    <t>417 - 48589-2</t>
  </si>
  <si>
    <t>OT-375485</t>
  </si>
  <si>
    <t>Nueva Elektra del Milenio S.A. de C.V // FAC-MCA-1YE-050525-NRM</t>
  </si>
  <si>
    <t>IDE 20 Mbps</t>
  </si>
  <si>
    <t>174- 133623-2</t>
  </si>
  <si>
    <t>10096685 falta pedir material</t>
  </si>
  <si>
    <t>OT-373959</t>
  </si>
  <si>
    <t>Krystal Satélite María Bárbara (Grupo Hotelero Santa Fe)</t>
  </si>
  <si>
    <t>Cabezal IP to QAM (SD/HD) + Canal Interno - Cabezal IP to QAM HD</t>
  </si>
  <si>
    <t>63 - 54758-2 
63 - 54758-3</t>
  </si>
  <si>
    <t>OT-376358</t>
  </si>
  <si>
    <t>JM INTERNACIONAL</t>
  </si>
  <si>
    <t>Licencia mensual EDR/Disp + Equipamiento (3 WiFi 6)</t>
  </si>
  <si>
    <t>323 - 2660</t>
  </si>
  <si>
    <t>OT-372973</t>
  </si>
  <si>
    <t>Waldo´s Dolar Mart de Mexico S de RL de CV</t>
  </si>
  <si>
    <t>417 - 48827</t>
  </si>
  <si>
    <t>OT-376005</t>
  </si>
  <si>
    <t>SUPERMAYOREO NATURISTA</t>
  </si>
  <si>
    <t>cancelado por fuera de cobertura</t>
  </si>
  <si>
    <t>Se cancela servicio por fuera de cobertura</t>
  </si>
  <si>
    <t>OT-376258</t>
  </si>
  <si>
    <t>Centro Intermodal de Maniobras S.A. de C.V.</t>
  </si>
  <si>
    <t>C+ ISA 2.0 100 Mbps</t>
  </si>
  <si>
    <t>417 - 49011-2</t>
  </si>
  <si>
    <t>OT-377570</t>
  </si>
  <si>
    <t>COSMETICOS TRUJILLO SA DE CV</t>
  </si>
  <si>
    <t>Cancelcelacion</t>
  </si>
  <si>
    <t>OT-376601</t>
  </si>
  <si>
    <t xml:space="preserve">GrupoAzvi de Mexico </t>
  </si>
  <si>
    <t>Cambio de Tecnología (IDE 2.0 FO 100 Mbps)</t>
  </si>
  <si>
    <t>323 - 1982-2</t>
  </si>
  <si>
    <t>se realiza cambio de tecnologia con el cliente</t>
  </si>
  <si>
    <t>​OT-376759</t>
  </si>
  <si>
    <t>CIRTEC</t>
  </si>
  <si>
    <t>497 - 5735-2</t>
  </si>
  <si>
    <t>OT-377265</t>
  </si>
  <si>
    <t xml:space="preserve">HotelPolimpo </t>
  </si>
  <si>
    <t>400 - 42749-2</t>
  </si>
  <si>
    <t xml:space="preserve">OT-378191 </t>
  </si>
  <si>
    <t>323 - 1982</t>
  </si>
  <si>
    <t>Cherwell  10083498</t>
  </si>
  <si>
    <t>OT-377275</t>
  </si>
  <si>
    <t>NILFISK (Corporativo)</t>
  </si>
  <si>
    <r>
      <rPr>
        <sz val="8"/>
        <color rgb="FF000000"/>
        <rFont val="Calibri"/>
      </rPr>
      <t xml:space="preserve">Renovación (licencia)  + Upgrade (C+ ISA 2.0 200 Mbps)   </t>
    </r>
    <r>
      <rPr>
        <b/>
        <sz val="8"/>
        <color rgb="FFFF0000"/>
        <rFont val="Calibri"/>
      </rPr>
      <t>PENDIENTE cliente pide se entregue primero Queretaro</t>
    </r>
  </si>
  <si>
    <t>OT-374977</t>
  </si>
  <si>
    <t>TRIBUNAL DE JUSTICIA ADMINISTRATIVA DEL ESTADO DE MEXICO- NAUCALPAN</t>
  </si>
  <si>
    <t>497 - 5758-2</t>
  </si>
  <si>
    <t>07/07/2025 --&gt; CONTINUA CONSTRUCCIÓN</t>
  </si>
  <si>
    <t>OT-377523</t>
  </si>
  <si>
    <t>SAMPA MEXICO SA DE CV</t>
  </si>
  <si>
    <t>Renovación + Upgrade (C+ IDE 2.0 FO 200 Mbps)</t>
  </si>
  <si>
    <t>OT-377805</t>
  </si>
  <si>
    <t>OT-376713</t>
  </si>
  <si>
    <t xml:space="preserve">ALATORREAVENDA&amp;O RECURSOS ESPECIALIZADOS EN ASESORIA SC-AREA SATELITE </t>
  </si>
  <si>
    <t>OT-374987</t>
  </si>
  <si>
    <t>TRIBUNAL DE JUSTICIA ADMINISTRATIVA DEL ESTADO DE MEXICO-ATIZAPAN DE ZARAGOZA</t>
  </si>
  <si>
    <t>416 - 68367-2</t>
  </si>
  <si>
    <t xml:space="preserve">​OT-378610 </t>
  </si>
  <si>
    <t>Club Union A.C. Icami</t>
  </si>
  <si>
    <t>323 - 2376</t>
  </si>
  <si>
    <t>OT-376484</t>
  </si>
  <si>
    <t>Walmart de México-BA Rinconada Lago de Guadalupe</t>
  </si>
  <si>
    <t>ISA Emp GP 2.0 50Mbps</t>
  </si>
  <si>
    <t>174 - 134516</t>
  </si>
  <si>
    <t xml:space="preserve">11/02/2026 se observo la OT en estado HOLD || el viernes 18 de julio se habla con pm e indica que se firmo contrato general y se enviara correo para su atencion </t>
  </si>
  <si>
    <t>OT-377763</t>
  </si>
  <si>
    <t>RHINO MAQUINARIA</t>
  </si>
  <si>
    <t>416-68660</t>
  </si>
  <si>
    <t>OT-378549</t>
  </si>
  <si>
    <t>1 IP Pública fija MCA /30</t>
  </si>
  <si>
    <t xml:space="preserve">323-3951-2	</t>
  </si>
  <si>
    <t>OT-378174</t>
  </si>
  <si>
    <t xml:space="preserve">CIISTEC-MR77 </t>
  </si>
  <si>
    <r>
      <rPr>
        <sz val="8"/>
        <color rgb="FF000000"/>
        <rFont val="Calibri"/>
      </rPr>
      <t xml:space="preserve">ISA 2.0 100 Mbps      </t>
    </r>
    <r>
      <rPr>
        <sz val="8"/>
        <color rgb="FFFF0000"/>
        <rFont val="Calibri"/>
      </rPr>
      <t>10 de Julio.</t>
    </r>
  </si>
  <si>
    <t>417 - 49665-2</t>
  </si>
  <si>
    <t>07/07/2025 --&gt; SE PROGRAMA VM PARA EL 10 DE JULIO Y ENTREGA EL 11 DE JULIO</t>
  </si>
  <si>
    <t>OT-379690</t>
  </si>
  <si>
    <t>Ibsolutions Group</t>
  </si>
  <si>
    <t>ISA Emp GP 2.0 500Mbps</t>
  </si>
  <si>
    <t>497 - 5846</t>
  </si>
  <si>
    <t>OT-379688</t>
  </si>
  <si>
    <t>497 - 5847-2</t>
  </si>
  <si>
    <t>OT-379668</t>
  </si>
  <si>
    <t>GRUPO FINANCIERO BBVA México, S.A. de C.V. -Parques Polanco</t>
  </si>
  <si>
    <t>eVPN FO MCA 10Mbps</t>
  </si>
  <si>
    <t>323 - 4054-2</t>
  </si>
  <si>
    <t>25/07/2025 --&gt; SE REQUIERE QUE CLIENTE HAGA SUS PRUEBAS PARA LIBERAR EL SERVICIO</t>
  </si>
  <si>
    <t>OT-379525</t>
  </si>
  <si>
    <t>RIVERO ASESORES</t>
  </si>
  <si>
    <t>401 - 16901-3</t>
  </si>
  <si>
    <t>Se genera Folio Cherwell 10255476 </t>
  </si>
  <si>
    <t>OT-375904</t>
  </si>
  <si>
    <t>Mangueras Especializadas Sa de CV (MESASI)</t>
  </si>
  <si>
    <t>Renovación(equipo) + Upgrade (C+ ISA 2.0 100 Mbps)</t>
  </si>
  <si>
    <t>63 - 72863</t>
  </si>
  <si>
    <t>11/07/2025 --&gt; EN ESPERA DE LIBERACIÓN (COMENTA PM NO SE A LIBERADO POR LICENCAS) || 07/07/2025 --&gt; GUIA EN ALMACEN, YA SE LEVANTO EL TICKET CON EL SOC || EN ESPERA DE QUE LLEGUE GUIA AL ALMACEN - EQUIPO EXISTENTE MX67W "Q2GY - XEDJ - ACQG"</t>
  </si>
  <si>
    <t>OT-375991</t>
  </si>
  <si>
    <t>07/07/2025 --&gt; ESTA LIGADA A OT-375904 SE REQUIERE ENTREGAR NUEVO FW PARA RECUPERAR ESTE</t>
  </si>
  <si>
    <t>OT-380111</t>
  </si>
  <si>
    <t>Controladora Mabe SA de CV- PALMAS</t>
  </si>
  <si>
    <t>323 - 2015</t>
  </si>
  <si>
    <t>visita agendada para el martes 7 de julio</t>
  </si>
  <si>
    <t>OT-373879</t>
  </si>
  <si>
    <t>SUUTCX | FAC-MCM-2IU-110425-TTL MCM - INTERNET 300 MBPS | Reubicación de piso</t>
  </si>
  <si>
    <t>cambio de domicilio (INTERNET 300 MBPS)</t>
  </si>
  <si>
    <t>997-0</t>
  </si>
  <si>
    <t>OT-380074</t>
  </si>
  <si>
    <t>Cassis, Chamlati, Madrazo y Asociados, S.C.</t>
  </si>
  <si>
    <t>Equipamiento</t>
  </si>
  <si>
    <t>401 - 16916</t>
  </si>
  <si>
    <t>OT-380193</t>
  </si>
  <si>
    <t>NICOAT</t>
  </si>
  <si>
    <t>Cambio de Acometida (ISA Premium FO 50Mbps)</t>
  </si>
  <si>
    <t>457 - 19145</t>
  </si>
  <si>
    <t>07/07/2025 --&gt; SE PROGRAMA ACTIVIDAD PARA EL 8 DE JULIO</t>
  </si>
  <si>
    <t>OT-379988</t>
  </si>
  <si>
    <r>
      <rPr>
        <sz val="8"/>
        <color rgb="FF000000"/>
        <rFont val="Calibri"/>
      </rPr>
      <t xml:space="preserve">GIC SARL-TKSIP </t>
    </r>
    <r>
      <rPr>
        <sz val="8"/>
        <color rgb="FFFF0000"/>
        <rFont val="Calibri"/>
      </rPr>
      <t>(ENTREGADO EN ESPERA DE QUE CLIENTE CONFIGURE SU PBX PARA LIBERAR LLAMADAS Y SERVICIO)</t>
    </r>
  </si>
  <si>
    <t>07/07/2025 --&gt; FOLIO ENTREGADO EL 3 DE JULIO, EN ESPERA DE QUE LO RESUELVAN</t>
  </si>
  <si>
    <t>OT-379987</t>
  </si>
  <si>
    <t>GIC SARL-Cuautitlán Izcalli</t>
  </si>
  <si>
    <t>Renovación (licencia) + Upgrade (ISA 2.0 100 Mbps)</t>
  </si>
  <si>
    <t>07/07/2025 --&gt; CONTINUAMOS EN ESPERA DE LAS LICENCIAS</t>
  </si>
  <si>
    <t>OT-370214</t>
  </si>
  <si>
    <t>Aspen Labs SA de CV - CEDIS CUATITLAN</t>
  </si>
  <si>
    <t>Upgrade (IDE 2.0 FO 200 Mbps) + 5 IP´s Públicas fijas MCA /29</t>
  </si>
  <si>
    <t>07/07/2025 --&gt; EL DIA DE HOY SE ACTUALIZO LA OT POR LO QUE SE SOLICITO EL FOLIO DE DIRECCIONAMIENTO PARA ENTREGAR 5 IP´S ADICIONALES</t>
  </si>
  <si>
    <t>OT-379295</t>
  </si>
  <si>
    <t>Aspen Labs SA de CV - Rec Eq</t>
  </si>
  <si>
    <t>07/07/2025 --&gt; EN ESPERA DE CONTACTO DEL CLIENTE, EL DE CRM NO ES EL ACTUAL, SE SOLICITO A COMERCIAL COMPARTAN CONTACTO</t>
  </si>
  <si>
    <t>OT-379102</t>
  </si>
  <si>
    <t>TIENDAS SUPER PRECIO SAPI DE CV-Tiendas Neto Hogares</t>
  </si>
  <si>
    <t>416 - 69740</t>
  </si>
  <si>
    <t>​OT-380862</t>
  </si>
  <si>
    <t>EQCO SA de CV</t>
  </si>
  <si>
    <t>Cancelación (ISA Premium FO 50Mbps + TKDIG+1 IP)</t>
  </si>
  <si>
    <t>07/07/2025 --&gt; RECUPERACIÓN PROGRAMADA PARA EL EL 8 DE JULIO</t>
  </si>
  <si>
    <t>OT-378860</t>
  </si>
  <si>
    <t>Balesia Towers- PUNTA A EJERCITO</t>
  </si>
  <si>
    <t>LPE Local 10 Mbps</t>
  </si>
  <si>
    <t xml:space="preserve">401 - 16950-2 </t>
  </si>
  <si>
    <t>Plaza: CDMX</t>
  </si>
  <si>
    <t>OT-380171</t>
  </si>
  <si>
    <t>OLS &amp; CUSTOMS, S.A. DE C.V.</t>
  </si>
  <si>
    <t>Renovación + Upgrade</t>
  </si>
  <si>
    <t>323 - 1735</t>
  </si>
  <si>
    <t>HUB: IXN Kio Tultitlan</t>
  </si>
  <si>
    <t>​OT-380995</t>
  </si>
  <si>
    <t>CONSTRUSISTEM SA DE CV</t>
  </si>
  <si>
    <t>Capacidad: 10</t>
  </si>
  <si>
    <t>OT-380994</t>
  </si>
  <si>
    <t>BeGo</t>
  </si>
  <si>
    <t>Upgrade ( IDE 2.0 FO 300 Mbps )</t>
  </si>
  <si>
    <t>ID: Balesia Towers 323-2621-5</t>
  </si>
  <si>
    <t>OT-380589</t>
  </si>
  <si>
    <t>SIC COMERCIALIZACIÓN Y SERVICIOS MÉXICO SC</t>
  </si>
  <si>
    <t>497 - 5953-2</t>
  </si>
  <si>
    <t>BDI: 1204</t>
  </si>
  <si>
    <t>OT-381802</t>
  </si>
  <si>
    <t>GRUPO TEXTIL ALLIANCE -AZCAPOTZALCO</t>
  </si>
  <si>
    <t>400 - 43602-2</t>
  </si>
  <si>
    <t>Puerto: 19</t>
  </si>
  <si>
    <t>OT-382604</t>
  </si>
  <si>
    <t>ISA 2.0 100 Mbps</t>
  </si>
  <si>
    <t>497 - 5955-2</t>
  </si>
  <si>
    <t>IP Del Equipo: 10.4.153.130</t>
  </si>
  <si>
    <t>​OT-379579</t>
  </si>
  <si>
    <t>Inscom Networks SA de CV / La Networks &amp; Smart</t>
  </si>
  <si>
    <t>Renovación (licencia) + Upgrade (C+ ISA 2.0 200 Mbps)</t>
  </si>
  <si>
    <t>323 - 2197</t>
  </si>
  <si>
    <t xml:space="preserve">OT-382091	</t>
  </si>
  <si>
    <t xml:space="preserve">InscomNetworks SA de CV / La Networks &amp; Smart- COMITE OLIMPICO </t>
  </si>
  <si>
    <t>Equipamiento (LAN Adm Conecta 24Ptos)</t>
  </si>
  <si>
    <t>OT-379149</t>
  </si>
  <si>
    <t>INDBAUTEN REAL ESTATE</t>
  </si>
  <si>
    <t>WEBEX</t>
  </si>
  <si>
    <t>497 - 5961</t>
  </si>
  <si>
    <t>OT-379151</t>
  </si>
  <si>
    <t>INDBAUTEN REAL ESTATE - Satelite</t>
  </si>
  <si>
    <t>497 - 5961-2</t>
  </si>
  <si>
    <t>OT-380423</t>
  </si>
  <si>
    <t>SIC COMERCIALIZACIÓN Y SERVICIOS MÉXICO SC 2</t>
  </si>
  <si>
    <t>C+ IDE 2.0 FO 200 Mbps +  WEBEX</t>
  </si>
  <si>
    <t>497 - 5952-3</t>
  </si>
  <si>
    <t>OT-374700</t>
  </si>
  <si>
    <t>AMPARIN - Cancelación</t>
  </si>
  <si>
    <t>Cancelación (IDE 2.0 FO 100 Mbps)</t>
  </si>
  <si>
    <t xml:space="preserve">NOTA: No cancelar hasta que se entregue la OT-379126 de cambio de domicilio. </t>
  </si>
  <si>
    <t>OT-382732</t>
  </si>
  <si>
    <t>CANAL THEMA MEXICO-POZO PEDREGAL</t>
  </si>
  <si>
    <t>400 - 43871-2</t>
  </si>
  <si>
    <t>OT-380037</t>
  </si>
  <si>
    <t>LINDT &amp; SPRÜNGLI -Plaza Satelite</t>
  </si>
  <si>
    <t>C+ ISA 2.0 50 Mbps</t>
  </si>
  <si>
    <t>497 - 6014-2</t>
  </si>
  <si>
    <t>OT-383417</t>
  </si>
  <si>
    <t>Stocksur México</t>
  </si>
  <si>
    <t>497 - 6011</t>
  </si>
  <si>
    <t>SE VA A CANCELAR POR FALTA DE COBERTURA</t>
  </si>
  <si>
    <t>OT-382250</t>
  </si>
  <si>
    <t>Cazel</t>
  </si>
  <si>
    <t>Upgrade (C+ ISA 2.0 100 Mbps)</t>
  </si>
  <si>
    <t>323 - 2155</t>
  </si>
  <si>
    <t>EN ESPERA DE QUE LIBEREN EL EQUIPO DE ALMACEN, SE ENCUENTRA EN INVENTARIO HASTA EL LUNES 11 DE AGOSTO</t>
  </si>
  <si>
    <t>OT-384235</t>
  </si>
  <si>
    <t xml:space="preserve">RHINO MAQUINARIA SA DE CV </t>
  </si>
  <si>
    <t>Cancelación (ISA Premium FO 100Mbps)</t>
  </si>
  <si>
    <t>OT-384273</t>
  </si>
  <si>
    <t>PayNways Inc- Satélite</t>
  </si>
  <si>
    <t>Cancelación (ISA Premium FO 50Mbps +5 IP´s Públicas fijas MCA /29)</t>
  </si>
  <si>
    <t>OT-380937</t>
  </si>
  <si>
    <t>SORIASYOS</t>
  </si>
  <si>
    <t>Internet B4B 50 Mbps</t>
  </si>
  <si>
    <t>OT-384426</t>
  </si>
  <si>
    <t xml:space="preserve">COMPRAS YOU </t>
  </si>
  <si>
    <t>Internet Conecta FO 20Mbps</t>
  </si>
  <si>
    <t>497 - 6053-2</t>
  </si>
  <si>
    <t>OT-384581</t>
  </si>
  <si>
    <t>LALA Administracion Y Control S.A. De C.V.  -SENTURA</t>
  </si>
  <si>
    <t>Renovación + downgrade (IDE 2.0 FO 300 Mbps)</t>
  </si>
  <si>
    <t>OT-384708</t>
  </si>
  <si>
    <t xml:space="preserve">LALA Administracion Y Control S.A. De C.V.  </t>
  </si>
  <si>
    <t>5 IP´s Públicas fijas MCA /29</t>
  </si>
  <si>
    <t>OT-382342</t>
  </si>
  <si>
    <t>Club Deportivo Berimbau</t>
  </si>
  <si>
    <t>Cabezal IP to QAM (SD/HD) + Canal Interno - Cabezal IP to QAM HD +TK PREMIUM IP</t>
  </si>
  <si>
    <t>497 - 6045</t>
  </si>
  <si>
    <t>OT-381992</t>
  </si>
  <si>
    <t>AGROINDUSTRIAS RAIKER SRL DE CV-TLANEPANTLA</t>
  </si>
  <si>
    <t>Renovación + Upgrade (C+ Internet Conecta FO 20Mbps)</t>
  </si>
  <si>
    <t>63 - 55207-2</t>
  </si>
  <si>
    <t>OT-385406</t>
  </si>
  <si>
    <t>iCorp</t>
  </si>
  <si>
    <t>Cancelación (ISA Premium FO 50Mbps)</t>
  </si>
  <si>
    <t>323 – 384</t>
  </si>
  <si>
    <t>OT-384974</t>
  </si>
  <si>
    <t xml:space="preserve">IMMSA-ATIZAPAN  </t>
  </si>
  <si>
    <t>416 - 72382</t>
  </si>
  <si>
    <t>OT-384952</t>
  </si>
  <si>
    <t xml:space="preserve">Iter Net Red de Transporte SA de CV - Nicolas Romero </t>
  </si>
  <si>
    <t>Cancelación (ISA Premium FO 50Mbps)</t>
  </si>
  <si>
    <t>174 - 103416</t>
  </si>
  <si>
    <t>OT-385531</t>
  </si>
  <si>
    <t>Tritech Mexico- Naucalpan</t>
  </si>
  <si>
    <t>323 - 3134</t>
  </si>
  <si>
    <t>OT-384497</t>
  </si>
  <si>
    <t>Hospital Loma Linda</t>
  </si>
  <si>
    <t>323 - 1833</t>
  </si>
  <si>
    <t>OT-384540</t>
  </si>
  <si>
    <t xml:space="preserve">Hospital Loma Linda  </t>
  </si>
  <si>
    <t>OT-384500</t>
  </si>
  <si>
    <t>TAXS ADVISORS IBS</t>
  </si>
  <si>
    <t>Equipamiento (21 Camara IP Domo + 9 Camara IP Bullet + Grabador NVR de 32 canales IP)</t>
  </si>
  <si>
    <t>323 - 4149</t>
  </si>
  <si>
    <t>OT-386024</t>
  </si>
  <si>
    <t xml:space="preserve">Alimentos Prácticos y Selectos, S.A. de C.V.  </t>
  </si>
  <si>
    <t>323 - 336</t>
  </si>
  <si>
    <t>OT-386235</t>
  </si>
  <si>
    <t xml:space="preserve">Provem Packaging &amp; Display, S.A. de C.V.  </t>
  </si>
  <si>
    <t>323 - 2760</t>
  </si>
  <si>
    <t>OT-386494</t>
  </si>
  <si>
    <t xml:space="preserve">Envases de Papel Aventis S.A. de C.V.  </t>
  </si>
  <si>
    <t>Renovación (Equipo) + Upgrade (C+ ISA 2.0 100 Mbps)</t>
  </si>
  <si>
    <t>323 - 1873</t>
  </si>
  <si>
    <t>OT-386638</t>
  </si>
  <si>
    <t xml:space="preserve">Envases de Papel Aventis S.A. de C.V. </t>
  </si>
  <si>
    <t>OT-384607</t>
  </si>
  <si>
    <t xml:space="preserve">INDUSTRIAS MICHELIN SA DE CV </t>
  </si>
  <si>
    <t>Upgrade (ISA Premium FO 100Mbps)</t>
  </si>
  <si>
    <t>63 - 81843</t>
  </si>
  <si>
    <t>OT-386692</t>
  </si>
  <si>
    <t>BIOSKINCO - C. Benito Juárez</t>
  </si>
  <si>
    <t>63 - 131390 - 3</t>
  </si>
  <si>
    <t>OT-386011</t>
  </si>
  <si>
    <t>EGA KAT MEXICO</t>
  </si>
  <si>
    <t>417 - 51861-3</t>
  </si>
  <si>
    <t>OT-386665</t>
  </si>
  <si>
    <t xml:space="preserve">World Ingredients, S.A. de C.V. - Elektrica 5 </t>
  </si>
  <si>
    <t>323 - 2706</t>
  </si>
  <si>
    <t>OT-386452</t>
  </si>
  <si>
    <t>GRUPO BRAGO, COMBUSTIBLES BRAGO, SUPER SERVICIO DLT</t>
  </si>
  <si>
    <t>Internet Conecta FO 50Mbps</t>
  </si>
  <si>
    <t>174 - 137996 - 4</t>
  </si>
  <si>
    <t>OT-386457</t>
  </si>
  <si>
    <t>GRUPO BRAGO, COMBUSTIBLES BRAGO, SUPER SERVICIO DLT-Pedregal</t>
  </si>
  <si>
    <t>416 - 73357 - 4</t>
  </si>
  <si>
    <t>OT-386456</t>
  </si>
  <si>
    <t>GRUPO BRAGO, COMBUSTIBLES BRAGO, SUPER SERVICIO DLT- El Mosco</t>
  </si>
  <si>
    <t>416 - 73356 - 2</t>
  </si>
  <si>
    <t>MCAESU063TTLOT002476</t>
  </si>
  <si>
    <t>OT-387041</t>
  </si>
  <si>
    <t>GRUPO DRAKO</t>
  </si>
  <si>
    <t>CAMBIO DE ACOMETIDA</t>
  </si>
  <si>
    <t>323 – 3105</t>
  </si>
  <si>
    <t>OT-387511</t>
  </si>
  <si>
    <t xml:space="preserve">Europlast SA de CV. - Atizapán </t>
  </si>
  <si>
    <t>Cambio de Tecnología (TK PREMIUM IP)</t>
  </si>
  <si>
    <t>63 - 73015-13</t>
  </si>
  <si>
    <t>OT-375812</t>
  </si>
  <si>
    <t>Picacho Grupo Automotriz || VOLVO SAN JOAQUIN SERVICIO</t>
  </si>
  <si>
    <t>renovacion</t>
  </si>
  <si>
    <t>AP-062593</t>
  </si>
  <si>
    <t>SISTEMAS ANALITICOS ESPECIALIZADOS IT SA DE CV</t>
  </si>
  <si>
    <t>OT-383963</t>
  </si>
  <si>
    <t>INDUSTRIAL NEON DE MEXICO</t>
  </si>
  <si>
    <t>Cambio de Tecnología</t>
  </si>
  <si>
    <t>OT-388475</t>
  </si>
  <si>
    <t>MADERERIA MONTESOL SA DE CV</t>
  </si>
  <si>
    <t>Renovación más Upgrade ( C+ ISA 2.0 100 Mbps )</t>
  </si>
  <si>
    <t>63 - 77091 - 2</t>
  </si>
  <si>
    <t>OT-387617</t>
  </si>
  <si>
    <t>ACEROX SUMINISTROS Y MATERIALES INDUSTRAILES SA DE CV</t>
  </si>
  <si>
    <t>416 - 74336 - 3</t>
  </si>
  <si>
    <t>OT-368243</t>
  </si>
  <si>
    <t>LABORATORIOS LICON | FAC-MCM-ZXB-290125-TTL Digital 500 | Entrega de internet 300 Mbps FO</t>
  </si>
  <si>
    <t>Entrega de enlace por FO, actualmente cuenta con enlace MW pasa como ruta secundaria y enlace FO como ppal.</t>
  </si>
  <si>
    <t>OT-368004</t>
  </si>
  <si>
    <t>LABORATORIOS LICON   FAC-MCM-TV2-290125-TTL Digital 500   Entrega de internet 200 Mbps FO</t>
  </si>
  <si>
    <t>Entrega de enlace por FO, actualmente cuenta con enlace MW pasa como ruta secundaria y enlace FO como ppal</t>
  </si>
  <si>
    <t>OT-388290</t>
  </si>
  <si>
    <t>TELCOPS / CNERGIES - PARQUE ORIZABA N7</t>
  </si>
  <si>
    <t>ISA 2.0 200 Mbps</t>
  </si>
  <si>
    <t>497 - 6267 - 3</t>
  </si>
  <si>
    <t>OT-390375</t>
  </si>
  <si>
    <t>Vangent Mexico SA de CV</t>
  </si>
  <si>
    <t>323 - 1821</t>
  </si>
  <si>
    <t>OT-385202</t>
  </si>
  <si>
    <t>Equipamiento especial a la medida</t>
  </si>
  <si>
    <t>323 - 4185</t>
  </si>
  <si>
    <t>OT-387530</t>
  </si>
  <si>
    <t>INDRA</t>
  </si>
  <si>
    <t>INTERNET B4B 100 Mbps</t>
  </si>
  <si>
    <t>OT-388258</t>
  </si>
  <si>
    <t>Herrajes Hettich</t>
  </si>
  <si>
    <t>Renovación más Upgrade (IDE 2.0 FO 50 Mbps)</t>
  </si>
  <si>
    <t>323 - 2516</t>
  </si>
  <si>
    <t>OT-382621</t>
  </si>
  <si>
    <t>OPENBANK (LOC. PARQUE TOREO)</t>
  </si>
  <si>
    <t>Fernando Zarate</t>
  </si>
  <si>
    <t xml:space="preserve">
IDE 2.0 FO 500 Mbps</t>
  </si>
  <si>
    <t>323-4183</t>
  </si>
  <si>
    <t>OT-390524</t>
  </si>
  <si>
    <t>COMPRAS YOU - Upgrade</t>
  </si>
  <si>
    <t>Upgrade (C+ Internet Conecta FO 100Mbp)</t>
  </si>
  <si>
    <t>OT-386611</t>
  </si>
  <si>
    <t>NOVACTI - LAGO NAUR</t>
  </si>
  <si>
    <t>IDE 2.0 FO 500 Mbps</t>
  </si>
  <si>
    <t>323 - 4209-2</t>
  </si>
  <si>
    <t>OT-384072</t>
  </si>
  <si>
    <t>SINGER NUEVO - CEDIS LAGO DE GUADALUPE</t>
  </si>
  <si>
    <t>63 - 134074-2</t>
  </si>
  <si>
    <t>WO0042325</t>
  </si>
  <si>
    <t>FERRIONI</t>
  </si>
  <si>
    <t>Cloud Firewall</t>
  </si>
  <si>
    <t>OT-393995</t>
  </si>
  <si>
    <t>Mercado Libre-PUNTA NORTE</t>
  </si>
  <si>
    <t>Upgrade (IDE 2.0 FO 500 Mbps)</t>
  </si>
  <si>
    <t>417 - 48589</t>
  </si>
  <si>
    <t>OT-377411</t>
  </si>
  <si>
    <t>Novacti // Núcleo Rio San Joaquin</t>
  </si>
  <si>
    <t>UPGRADE 500 MBPS</t>
  </si>
  <si>
    <t>323-2246</t>
  </si>
  <si>
    <t>OT-393644</t>
  </si>
  <si>
    <t>CONVERGIA DE MEXICO SA DE CV- TOREO</t>
  </si>
  <si>
    <t>2.0Int.Ded.Carrier100Mbps + 5 IP´s Públicas fijas MCA /29</t>
  </si>
  <si>
    <t>497 - 36556-2/3</t>
  </si>
  <si>
    <t>OT-395262</t>
  </si>
  <si>
    <t>Ay Güey</t>
  </si>
  <si>
    <t>63 - 134960-2</t>
  </si>
  <si>
    <t>OT-395943</t>
  </si>
  <si>
    <t>CONVERGIA DE MEXICO SA DE CV</t>
  </si>
  <si>
    <t>UP GRADE DE 100 A 200MBPS</t>
  </si>
  <si>
    <t>497-6354</t>
  </si>
  <si>
    <t>OT-377429</t>
  </si>
  <si>
    <t>NAVISTAR MEXICO S DE RL DE CV</t>
  </si>
  <si>
    <t>UPGRADE A 500 MBPS</t>
  </si>
  <si>
    <t>63-69746</t>
  </si>
  <si>
    <t>OT-395822</t>
  </si>
  <si>
    <t>Sitio Comex Lomas Verdes</t>
  </si>
  <si>
    <t>IDE 200MBPS</t>
  </si>
  <si>
    <t>497-2263</t>
  </si>
  <si>
    <t>OT-395820</t>
  </si>
  <si>
    <t>Sitio El Molinito</t>
  </si>
  <si>
    <t>IDE 50MBPS</t>
  </si>
  <si>
    <t>497-3636</t>
  </si>
  <si>
    <t>OT-396297</t>
  </si>
  <si>
    <t>HEREA COMERCIALIZADORA MEXICO -SANTO DOMINGO</t>
  </si>
  <si>
    <t>ISA 2.0 50 Mbp</t>
  </si>
  <si>
    <t>400 - 46696-2</t>
  </si>
  <si>
    <t>OT-390104</t>
  </si>
  <si>
    <t>ARE CO CONSULTORES SC</t>
  </si>
  <si>
    <t>497 - 6284 - 2</t>
  </si>
  <si>
    <t>OT-395235</t>
  </si>
  <si>
    <t>Cambio de Equipo</t>
  </si>
  <si>
    <t>417 - 49011</t>
  </si>
  <si>
    <t>OT-398817</t>
  </si>
  <si>
    <t>SRLUZ SA DE CV-ZORRO ABARROTERO - ZN2</t>
  </si>
  <si>
    <t>174 - 140301-2</t>
  </si>
  <si>
    <t>OT-396096</t>
  </si>
  <si>
    <t>VMC PROJECT MANAGEMENT</t>
  </si>
  <si>
    <t>INTERNET B4B 300 Mbps</t>
  </si>
  <si>
    <t>997 - 0</t>
  </si>
  <si>
    <t xml:space="preserve">OT-398664 </t>
  </si>
  <si>
    <t>Upgrade(ISA 2.0 300 Mbps) + Equipo UTM 150 disp</t>
  </si>
  <si>
    <t>417 - 51861</t>
  </si>
  <si>
    <t>OT-398674</t>
  </si>
  <si>
    <t>417 - 51861</t>
  </si>
  <si>
    <t>OT-395076</t>
  </si>
  <si>
    <t xml:space="preserve">ADS LOGIC </t>
  </si>
  <si>
    <t>Upgrade (C+ ISA 2.0 200MBPS)</t>
  </si>
  <si>
    <t>63 - 110655</t>
  </si>
  <si>
    <t>OT-390474</t>
  </si>
  <si>
    <t>PRODUCTOS RICH S.A. DE C.V.</t>
  </si>
  <si>
    <t>323-2764-2</t>
  </si>
  <si>
    <t>OT-396631</t>
  </si>
  <si>
    <t>Intermerk</t>
  </si>
  <si>
    <t>Cancelación ISA Premium FO 200Mbps</t>
  </si>
  <si>
    <t>323-1839</t>
  </si>
  <si>
    <t>OT-399373</t>
  </si>
  <si>
    <t>GRUPO BRAGO, COMBUSTIBLES BRAGO, SUPER SERVICIO DLT-Av Kennedy</t>
  </si>
  <si>
    <t>Upgrade (ISA 2.0 50 Mbps)</t>
  </si>
  <si>
    <t>174 - 137996</t>
  </si>
  <si>
    <t>OT-399380</t>
  </si>
  <si>
    <t>GRUPO BRAGO, COMBUSTIBLES BRAGO, SUPER SERVICIO DLT-DLT Pedregal</t>
  </si>
  <si>
    <t>416 - 73357</t>
  </si>
  <si>
    <t>OT-399388</t>
  </si>
  <si>
    <t>GRUPO BRAGO, COMBUSTIBLES BRAGO, SUPER SERVICIO DLT-DLT El Mosco</t>
  </si>
  <si>
    <t>416 - 73356</t>
  </si>
  <si>
    <t>OT-399394</t>
  </si>
  <si>
    <t>GRUPO BRAGO, COMBUSTIBLES BRAGO, SUPER SERVICIO DLT- Nicolas Romero (La Casona)</t>
  </si>
  <si>
    <t>ISA 2.0 50 Mbps</t>
  </si>
  <si>
    <t>416 - 77176-2</t>
  </si>
  <si>
    <t>OT-399306</t>
  </si>
  <si>
    <t>Cancelación ISA Premium FO 50Mbps</t>
  </si>
  <si>
    <t>323-3002</t>
  </si>
  <si>
    <t>OT-400335</t>
  </si>
  <si>
    <t>PRODALUM SA DE CV</t>
  </si>
  <si>
    <t>Cancelación Internet conecta FO 20 Mbps</t>
  </si>
  <si>
    <t>63-74388</t>
  </si>
  <si>
    <t>OT-395629</t>
  </si>
  <si>
    <t>CORPORATIVO HOSPITAL SATELITE</t>
  </si>
  <si>
    <t>XVIEW (60 pantallas)</t>
  </si>
  <si>
    <t>497 - 6795</t>
  </si>
  <si>
    <t>OT-400393</t>
  </si>
  <si>
    <t>COMPRAS YOU  - IPs</t>
  </si>
  <si>
    <t>Bloque Adicional IP's /29</t>
  </si>
  <si>
    <t>OT-399970</t>
  </si>
  <si>
    <t>COMEX VALLEJO || SITWIFI</t>
  </si>
  <si>
    <t>Cambio de domicilio + upgrade 100 Mbps</t>
  </si>
  <si>
    <t>401-18492-2</t>
  </si>
  <si>
    <t>OT-399771</t>
  </si>
  <si>
    <t>COSA DE TRES</t>
  </si>
  <si>
    <t>Renovación más Upgrade C+ ISA 2.0 200 Mbps</t>
  </si>
  <si>
    <t>323-2803-2</t>
  </si>
  <si>
    <t>OT-398823</t>
  </si>
  <si>
    <t>AIRX Technologies-Brambles</t>
  </si>
  <si>
    <t>417 - 54669-2
417 - 54669-3</t>
  </si>
  <si>
    <t>OT-387446</t>
  </si>
  <si>
    <t>ALIGNMEX Real Estate Capital  - BOSQUE REAL</t>
  </si>
  <si>
    <t>323 - 4269</t>
  </si>
  <si>
    <t>OT-396132</t>
  </si>
  <si>
    <t>OT-396132 | WO0051983 |  FAC-MCM-N7I-271125-NAU | SOLUCIONES CORPORATIVAS SIM | Internet B4B 100 Mbps</t>
  </si>
  <si>
    <t>OT-401794</t>
  </si>
  <si>
    <t>LABORATORIOS LICON | SW LAN Adicional</t>
  </si>
  <si>
    <t>CloudEngine S5735-L24P4S-A-V2</t>
  </si>
  <si>
    <t>OT-401892</t>
  </si>
  <si>
    <t>Interdipce Publicidad</t>
  </si>
  <si>
    <t>IDE 2.0 FO 300 Mbps + TK PREMIUM IP</t>
  </si>
  <si>
    <t>63 - 138291-3 
63 - 138291-4</t>
  </si>
  <si>
    <t>OT-402454</t>
  </si>
  <si>
    <t>TERRA ENERGY</t>
  </si>
  <si>
    <t>ACCESOS PARA LUNES 12 ENERO 2026 || 11:00 AM</t>
  </si>
  <si>
    <t>OT-400836</t>
  </si>
  <si>
    <t>FLETES Y TRANSPORTES RUIZ S.A. DE C.V</t>
  </si>
  <si>
    <t>323-2508</t>
  </si>
  <si>
    <t>OT-402886</t>
  </si>
  <si>
    <t>AC LOGISTICS</t>
  </si>
  <si>
    <t>ISA 2.0 500 Mbps +10 Webex Suite+ 10 Licencia SASE+ 8 Telefono 6851</t>
  </si>
  <si>
    <t>497 - 7902-3</t>
  </si>
  <si>
    <t>OT-401651</t>
  </si>
  <si>
    <t>PURITY ESSCENCE COMPANY SERVICES - GREEN PLAZA</t>
  </si>
  <si>
    <t>C+ ISA 2.0 500 Mbps</t>
  </si>
  <si>
    <t>497 - 7858-3</t>
  </si>
  <si>
    <t>OT-403073</t>
  </si>
  <si>
    <t>ALEATICA</t>
  </si>
  <si>
    <t>INTERNET B4B 500Mbps</t>
  </si>
  <si>
    <t>OT-403075</t>
  </si>
  <si>
    <t>Renovación más Upgrade</t>
  </si>
  <si>
    <t>OT-403691</t>
  </si>
  <si>
    <t>AIRX TECHNOLOGIES</t>
  </si>
  <si>
    <t>CAMBIO DE INTERFAZ</t>
  </si>
  <si>
    <t>OT-403808</t>
  </si>
  <si>
    <t>MASUDI</t>
  </si>
  <si>
    <t>Internet Negocio 1 Gbps</t>
  </si>
  <si>
    <t>63-140165</t>
  </si>
  <si>
    <t>OT-401661</t>
  </si>
  <si>
    <t>NOTARIA 70</t>
  </si>
  <si>
    <t>ISA Emp GP 2.0 500Mbps + WEBEX (2 Telelefono 7841+ 3Teléfonos 6851 + 2 POE+ LAN Adm Conecta 8Ptos)</t>
  </si>
  <si>
    <t>416 - 78811</t>
  </si>
  <si>
    <t>OT-400192</t>
  </si>
  <si>
    <t>FARMACIAS BENAVIDES</t>
  </si>
  <si>
    <t>Upgrade 50 mb Internet Negocio</t>
  </si>
  <si>
    <t>497-2552</t>
  </si>
  <si>
    <t>OT-402997</t>
  </si>
  <si>
    <t>MG LA VILLA-ATIZAPAN</t>
  </si>
  <si>
    <t>416 - 78357</t>
  </si>
  <si>
    <t xml:space="preserve">OT-404416 </t>
  </si>
  <si>
    <t>GRUPO ALCIONE SA DE CV</t>
  </si>
  <si>
    <t>Cambio de Domicilio Internet Conecta FO 20Mbps</t>
  </si>
  <si>
    <t>531-19654-2</t>
  </si>
  <si>
    <t>SACAR CPE DE TEXCOCO Y FALTA PYOT DE JUMPERS</t>
  </si>
  <si>
    <t>OT-404044</t>
  </si>
  <si>
    <t>EMLIDER SA DE CV</t>
  </si>
  <si>
    <t>FULL EMPRESA(ISA 2.0 500 Mbps + WEBEX + SASE/EDR)</t>
  </si>
  <si>
    <t>63 - 140381-3</t>
  </si>
  <si>
    <t>OT-403044</t>
  </si>
  <si>
    <t>MG LA VILLA IXTAPALUCA</t>
  </si>
  <si>
    <t xml:space="preserve">Internet MCM GP 2.0 500 + Tk SIP Cloud MCA + Licencia WebexPROF + Lic Esencial Aruba/User + TK PREMIUM IP </t>
  </si>
  <si>
    <t>323-4289-</t>
  </si>
  <si>
    <t>OT-404212</t>
  </si>
  <si>
    <t>EPOEM 250</t>
  </si>
  <si>
    <t>174 - 143012-2</t>
  </si>
  <si>
    <t>OT-399293</t>
  </si>
  <si>
    <t>AREA CREATIVA Y PUBLICIDAD IMPRESA</t>
  </si>
  <si>
    <t>Upgrade</t>
  </si>
  <si>
    <t>OT-399297</t>
  </si>
  <si>
    <t>OT-404547</t>
  </si>
  <si>
    <t xml:space="preserve"> GRUPO SALINAS 1522 - AZULMEX SANTA CLARA</t>
  </si>
  <si>
    <t>Recolección de equipos por cancelación de servicios</t>
  </si>
  <si>
    <t>63-86595</t>
  </si>
  <si>
    <t>OT-401714</t>
  </si>
  <si>
    <t>MORYSAN COMERCIAL</t>
  </si>
  <si>
    <t>Internet Conecta FO 20Mbps + TK PREMIUM IP "Promoción 3419" (Internet Dedicado con Telefonía)</t>
  </si>
  <si>
    <t>540-36741-2
540-36741-4</t>
  </si>
  <si>
    <t>OT-402569</t>
  </si>
  <si>
    <t>TOROSQUI S.A. DE C.V.</t>
  </si>
  <si>
    <t>540-33255-3</t>
  </si>
  <si>
    <t>QUE ASIGNEN EL MATERIAL A LA PDM1</t>
  </si>
  <si>
    <t>OT-405564</t>
  </si>
  <si>
    <t>APSA SA DE CV</t>
  </si>
  <si>
    <t xml:space="preserve"> Internet Conecta FO 50Mbps + TK PREMIUM IP "Promoción 3419" (Internet Dedicado con Telefonía)</t>
  </si>
  <si>
    <t>540-36876-2
540-36876-4</t>
  </si>
  <si>
    <t>OT-405634</t>
  </si>
  <si>
    <t>Kimex Telas, S.A. De C.V.  - Naucalpan</t>
  </si>
  <si>
    <t>Equipamiento (2 LAN Adm Conecta 24Ptos)</t>
  </si>
  <si>
    <t>497 - 8998</t>
  </si>
  <si>
    <t>OT-405642</t>
  </si>
  <si>
    <t>Cia Industrial Kindy SA de CV - Victoria</t>
  </si>
  <si>
    <t>497 - 9005</t>
  </si>
  <si>
    <t>OT-384766</t>
  </si>
  <si>
    <t>Antell System</t>
  </si>
  <si>
    <t>Cambio de Domicilio (ISA 2.0 200 Mbps)</t>
  </si>
  <si>
    <t>323 - 2450 -2
323 - 2450 -3</t>
  </si>
  <si>
    <t>CLIENTE SOLICITA SE LE ENTREGE EL SERVICIO EL 20 DE FEBRERO</t>
  </si>
  <si>
    <t>OT-404836</t>
  </si>
  <si>
    <t>City Express Corporativo - Mundo E</t>
  </si>
  <si>
    <t>63 - 70902</t>
  </si>
  <si>
    <t xml:space="preserve">OT-405176 </t>
  </si>
  <si>
    <t xml:space="preserve"> LABORATORIOS PISA</t>
  </si>
  <si>
    <t>472-43643-2</t>
  </si>
  <si>
    <t>FOLIO SOLICITADO</t>
  </si>
  <si>
    <t>SOLICITADA</t>
  </si>
  <si>
    <t>OT-404510</t>
  </si>
  <si>
    <t>AT&amp;T MEXICO</t>
  </si>
  <si>
    <t>Cancelación recolección equipos</t>
  </si>
  <si>
    <t>323-2282</t>
  </si>
  <si>
    <t>OT-402680</t>
  </si>
  <si>
    <t>ELEVADORES ATLAS MEXICO</t>
  </si>
  <si>
    <t>ISA 2.0 200 Mbps + Equipo UTM 50 disp + Tk SIP Cloud MCA + Webex Suite + Licencia SASE Aruba /Usuario</t>
  </si>
  <si>
    <t>540-32273-3</t>
  </si>
  <si>
    <t>Falta PYOT de jumpers</t>
  </si>
  <si>
    <t>OT-401816</t>
  </si>
  <si>
    <t>Transportes Refrigerados Marma SA de CV-CUAUTITLAN</t>
  </si>
  <si>
    <t>Upgrade (C+ ISA 2.0 300 Mbps) + Equipo UTM 150 disp
Capacidad: 300 Mbps</t>
  </si>
  <si>
    <t>323 - 1109</t>
  </si>
  <si>
    <t>OT-402718</t>
  </si>
  <si>
    <t>Transportes Refrigerados Marma SA de CV</t>
  </si>
  <si>
    <t>Cancelación Recuperación de Equipo UTM ISA 100Mbps</t>
  </si>
  <si>
    <t>323-1109</t>
  </si>
  <si>
    <t>OT-405434</t>
  </si>
  <si>
    <t>GRUPO CIPSA CARGOTECNIA</t>
  </si>
  <si>
    <t>497 - 9289-3</t>
  </si>
  <si>
    <t>OT-405260</t>
  </si>
  <si>
    <t>TELEFONICA / Reckitt</t>
  </si>
  <si>
    <t>LPE Local Carrier 100 Mbps</t>
  </si>
  <si>
    <t>63-141302-2</t>
  </si>
  <si>
    <t>OT-400928</t>
  </si>
  <si>
    <t>Tendenzza Pisos y Recubrimientos</t>
  </si>
  <si>
    <t>540 – 36701 - 2</t>
  </si>
  <si>
    <t>SIN IMPRIMIR</t>
  </si>
  <si>
    <t>OT-390127</t>
  </si>
  <si>
    <t>Compañia Internacional Médica S.A. de C.V</t>
  </si>
  <si>
    <t>63 - 136782-2</t>
  </si>
  <si>
    <t>OT-406823</t>
  </si>
  <si>
    <t>REFACCIONES MODERNAS</t>
  </si>
  <si>
    <t>323 – 4155 - 4</t>
  </si>
  <si>
    <t>OT-407862</t>
  </si>
  <si>
    <t>EXPORTACIONES IM PROMOCION SA DE CV</t>
  </si>
  <si>
    <t>323-2042</t>
  </si>
  <si>
    <t>OT-407362</t>
  </si>
  <si>
    <t>Chivali SA de CV</t>
  </si>
  <si>
    <t>323 - 4328-2</t>
  </si>
  <si>
    <t>OT-406955</t>
  </si>
  <si>
    <t>GRUPO ISMO AUTOMOTRIZ SA DE CV- CHEVROLET LOMAS VERDES</t>
  </si>
  <si>
    <t>C+ ISA 2.0 200 Mbps + TK PREMIUM IP</t>
  </si>
  <si>
    <t>497 - 9385-2 
497 - 9385-4</t>
  </si>
  <si>
    <t>OT-407212</t>
  </si>
  <si>
    <t>MIGUETT COSMETICA PROFESIONAL/ Cosmetica Internacional Miguett SA de CV  - LOMAS VERDES</t>
  </si>
  <si>
    <t>Equipamiento (WiFi 6 MCA Emp Prem)</t>
  </si>
  <si>
    <t>323 - 2240</t>
  </si>
  <si>
    <t>OT-406564</t>
  </si>
  <si>
    <t>AUGE INTEGRAL SA DE CV</t>
  </si>
  <si>
    <t>Equipamiento (10 WiFi 6 MCA Emp Prem + 1 LAN Adm Conecta 24Ptos)</t>
  </si>
  <si>
    <t>63 - 142546</t>
  </si>
  <si>
    <t>OT-406826</t>
  </si>
  <si>
    <t>Colegio Carol Baur Concordia</t>
  </si>
  <si>
    <t>Cancelación de IPs</t>
  </si>
  <si>
    <t>323-2451</t>
  </si>
  <si>
    <t>OT-406110</t>
  </si>
  <si>
    <t>MIGUETT COSMETICA PROFESIONAL/ Cosmetica Internacional Miguett SA de CV</t>
  </si>
  <si>
    <t>OT-387934</t>
  </si>
  <si>
    <t>Buro de Credito / Trans Union de Mexico SA Sociedad de Informacion Crediticia -Once Corporativo</t>
  </si>
  <si>
    <t>Upgrade 10 Gbps</t>
  </si>
  <si>
    <t>323-703-5</t>
  </si>
  <si>
    <t>OT-387206</t>
  </si>
  <si>
    <t>Walmart de México - DET_5013 BD Colinas de Monte Bello</t>
  </si>
  <si>
    <t>174 - 138116</t>
  </si>
  <si>
    <t>OT-407064</t>
  </si>
  <si>
    <t>PROCESOS DE VALOR AGREGADO</t>
  </si>
  <si>
    <t>IDE NS FO 1Gbps + 13 IP´s Públicas fijas MCA /28 + 1 IP Pública fija MCA /30</t>
  </si>
  <si>
    <t>417 - 57647-2
417 - 57647-3
417 - 57647-4</t>
  </si>
  <si>
    <t>OT-406592</t>
  </si>
  <si>
    <t>CASA TRADICIÓN</t>
  </si>
  <si>
    <t>Renovación + Upgrade (C+ ISA 2.0 100 Mbps)</t>
  </si>
  <si>
    <t>323 - 2775</t>
  </si>
  <si>
    <t>OT-408296</t>
  </si>
  <si>
    <t>Eligge Great Group</t>
  </si>
  <si>
    <t>416 - 80433-2</t>
  </si>
  <si>
    <t>OT-405436</t>
  </si>
  <si>
    <t>BIORESEARCH</t>
  </si>
  <si>
    <t>Cambio a SD WAN 60F + Upgrade ISA 500 Mbps</t>
  </si>
  <si>
    <t>OT-409585</t>
  </si>
  <si>
    <t>REACTIVOS Y EQUIPO</t>
  </si>
  <si>
    <t>OT-407807</t>
  </si>
  <si>
    <t>Cadena Comercial Oxxo, S.A. de C.V.</t>
  </si>
  <si>
    <t>531-21628</t>
  </si>
  <si>
    <t xml:space="preserve">OT-407749 </t>
  </si>
  <si>
    <t> 531-21622</t>
  </si>
  <si>
    <t>OT-408611</t>
  </si>
  <si>
    <t>SICLU TELECOM S.A. de C.V</t>
  </si>
  <si>
    <t>ISA Emp GP 2.0 500Mbps + Equipo ISA Empresa GPON + Telefonia MCA Ilim Plus (Prom 3417 GPON)</t>
  </si>
  <si>
    <t>OT-406169</t>
  </si>
  <si>
    <t>GRUPO MENA (POWER MOTO SA DE CV)</t>
  </si>
  <si>
    <t>Equipamento 10 telefonos Cisco 6821</t>
  </si>
  <si>
    <t>300-22455</t>
  </si>
  <si>
    <t>OT-406168</t>
  </si>
  <si>
    <t xml:space="preserve"> ISA 2.0 200 Mbps + Equipo UTM 50 disp + Tk SIP Cloud MCA + Webex Suite + Licencia SASE Aruba /Usuario</t>
  </si>
  <si>
    <t>300-22544-3</t>
  </si>
  <si>
    <t>OT-407356</t>
  </si>
  <si>
    <t>MOTTU MEXICO</t>
  </si>
  <si>
    <t>535-9222-3</t>
  </si>
  <si>
    <t>OT-407808</t>
  </si>
  <si>
    <t>Cadena Comercial Oxxo, S.A. de C.V._10PCK 50PQ5 Gavilanes</t>
  </si>
  <si>
    <t>174-144398</t>
  </si>
  <si>
    <t>OT-408541</t>
  </si>
  <si>
    <t>OT-409584</t>
  </si>
  <si>
    <t>OT-408255</t>
  </si>
  <si>
    <t>Tecnologico de Estudios Superiores de Chalco</t>
  </si>
  <si>
    <t>WiFi 6 MCA Emp Prem</t>
  </si>
  <si>
    <t>323-2658</t>
  </si>
  <si>
    <t>OT-408233</t>
  </si>
  <si>
    <t>C+ ISA 2.0 300 Mbps + Equipo UTM 150 disp + 29 Teléfono Cisco 6851 + Tk SIP Cloud MCA + 5 WiFi 6 MCA Emp Prem + 30 Licencia Webex Enhanced + 2 IP Pública fija MCA /30</t>
  </si>
  <si>
    <t>323-2658-4</t>
  </si>
  <si>
    <t>OT-408849</t>
  </si>
  <si>
    <t xml:space="preserve">COMERCIALIZADORA MARTINEZ CARBAJAL S.A. DE C.V. ( GRUPO COMARCA ) concreto y materiales Comarca </t>
  </si>
  <si>
    <t xml:space="preserve">WEBEX(4 telefonos 6821 + LAN Adm Conecta 8Ptos)
</t>
  </si>
  <si>
    <t>416 - 80986</t>
  </si>
  <si>
    <t>OT-409051</t>
  </si>
  <si>
    <t>NAVI NEXT</t>
  </si>
  <si>
    <t>497 - 9981-2</t>
  </si>
  <si>
    <t>OT-407147</t>
  </si>
  <si>
    <t>ISA 2.0 100 Mbps + Equipo UTM 50 disp + 5 IP´s Públicas fijas MCA /29
Capacidad: 100 Mbps</t>
  </si>
  <si>
    <t>540-40905-3
540-40905-4</t>
  </si>
  <si>
    <t>OT-409466</t>
  </si>
  <si>
    <t>BIOMEP</t>
  </si>
  <si>
    <t>OT-408058</t>
  </si>
  <si>
    <t>OT-409080</t>
  </si>
  <si>
    <t>MEGA CENTRO Y CDMX- NICOLAS ROMERO</t>
  </si>
  <si>
    <t>IDE 100 Mbps</t>
  </si>
  <si>
    <t>174 - 144681-2</t>
  </si>
  <si>
    <t>OT-408894</t>
  </si>
  <si>
    <t>COMERCIALIZADORA MARTINEZ CARBAJAL S.A. DE C.V.-GRUPO COMARCA</t>
  </si>
  <si>
    <t>416-80733</t>
  </si>
  <si>
    <t>OT-406982</t>
  </si>
  <si>
    <t>Neru Chemical - BODEGA</t>
  </si>
  <si>
    <t>540 – 40896 - 3</t>
  </si>
  <si>
    <t>OT-406987</t>
  </si>
  <si>
    <t>Neru Chemical - OFICINAS</t>
  </si>
  <si>
    <t>540 – 40900 - 6</t>
  </si>
  <si>
    <t>OT-409507</t>
  </si>
  <si>
    <t xml:space="preserve"> MCA Negocio 50MB</t>
  </si>
  <si>
    <t>300-23189</t>
  </si>
  <si>
    <t>OT-409513</t>
  </si>
  <si>
    <t>WIRELESS BRIDGE | INETMEXICO</t>
  </si>
  <si>
    <t>2.0 Int.Ded.Carrier2Gbps</t>
  </si>
  <si>
    <t>531-22165-2</t>
  </si>
  <si>
    <t>OT-408590</t>
  </si>
  <si>
    <t>Walmart de México</t>
  </si>
  <si>
    <t xml:space="preserve"> ISA Emp GP 2.0 50Mbps</t>
  </si>
  <si>
    <t>517 - 40638</t>
  </si>
  <si>
    <t>OT-407629</t>
  </si>
  <si>
    <t>AC MARRIOTT Hotel  CITY TOREO</t>
  </si>
  <si>
    <t>Xview Plus Básico Hotel (60 TVs)</t>
  </si>
  <si>
    <t>497 - 9937</t>
  </si>
  <si>
    <t>OT-407569</t>
  </si>
  <si>
    <t>NACH CAPITAL HUMANO</t>
  </si>
  <si>
    <t>416 - 81249-2</t>
  </si>
  <si>
    <t>OT-409565</t>
  </si>
  <si>
    <t>UNIVERSIDAD TOMINAGA NAKAMOTO</t>
  </si>
  <si>
    <t>INTERNET B4B 100 || INTERNET B4B 100 &amp; Secure SDWAN (Fortinet 40F)</t>
  </si>
  <si>
    <t>OT-410233</t>
  </si>
  <si>
    <t>Universidad Politécnica de Texcoco</t>
  </si>
  <si>
    <t>Equipo UTM 650 disp + WiFi 6 MCA Emp Prem</t>
  </si>
  <si>
    <t>323-314-</t>
  </si>
  <si>
    <t>OT-410226</t>
  </si>
  <si>
    <t>ISA 2.0 600 Mbps + Equipo UTM 300 disp + 5 IP´s Públicas fijas MCA /29 + TK PREMIUM IP "Promoción 3419" (Internet Dedicado con Telefonía)</t>
  </si>
  <si>
    <t>323-314-26</t>
  </si>
  <si>
    <t>AP-067311</t>
  </si>
  <si>
    <t>AC MARRIOTT Hotel</t>
  </si>
  <si>
    <t>AP-067344</t>
  </si>
  <si>
    <t>PURITY ESSCENCE COMPANY SERVICES</t>
  </si>
  <si>
    <t>AP-064989</t>
  </si>
  <si>
    <t>PETCO MÉXICO GRAN TERRAZA LOMAS VERDES</t>
  </si>
  <si>
    <t>AP-067200</t>
  </si>
  <si>
    <t>Operadora OMX, S.A. de C.V.</t>
  </si>
  <si>
    <t>AP-064931</t>
  </si>
  <si>
    <t>PETCO MÉXICO</t>
  </si>
  <si>
    <t>OT-409564</t>
  </si>
  <si>
    <t>ISMO CONTINENTAL</t>
  </si>
  <si>
    <t>Upgrade (C+ ISA 2.0 200 Mbps)</t>
  </si>
  <si>
    <t>63 - 99223</t>
  </si>
  <si>
    <t>OT-409581</t>
  </si>
  <si>
    <t>ISMO FORTIA SA DE CV</t>
  </si>
  <si>
    <t>Upgrade (C+ ISA 2.0 200 Mbps)</t>
  </si>
  <si>
    <t>63 - 111436</t>
  </si>
  <si>
    <t>OT-407108</t>
  </si>
  <si>
    <t>Hospital Regional de Alta Especialidad de Zumpango</t>
  </si>
  <si>
    <t>Renovación + Upgrade(Internet Conecta FO 50Mbps)</t>
  </si>
  <si>
    <t>226 - 112333</t>
  </si>
  <si>
    <t>RUTA (NUM)</t>
  </si>
  <si>
    <t>BUFER(NUM)</t>
  </si>
  <si>
    <t>HILO(NUM)</t>
  </si>
  <si>
    <t>NOMBRE</t>
  </si>
  <si>
    <t>Site ID PROYECTO</t>
  </si>
  <si>
    <t> </t>
  </si>
  <si>
    <t>Latest Longitude</t>
  </si>
  <si>
    <t>Latest Latitude</t>
  </si>
  <si>
    <t>Solution</t>
  </si>
  <si>
    <t>ANILLO MCA</t>
  </si>
  <si>
    <t>Fiber ID</t>
  </si>
  <si>
    <t>Red de Fo de conexion</t>
  </si>
  <si>
    <t>Hotel ID</t>
  </si>
  <si>
    <t>REGION</t>
  </si>
  <si>
    <t>MUNICIPIO</t>
  </si>
  <si>
    <t>Transport
 Type</t>
  </si>
  <si>
    <t>Distance to hotel</t>
  </si>
  <si>
    <t>Total Distance</t>
  </si>
  <si>
    <t>ENLACE DE INGENIERIAS</t>
  </si>
  <si>
    <t>BUFFER / HILO DE MUX</t>
  </si>
  <si>
    <t>No. OADM</t>
  </si>
  <si>
    <t>OADM LAMBDA TX</t>
  </si>
  <si>
    <t>OADM LAMBDA RX</t>
  </si>
  <si>
    <t>BUFFER</t>
  </si>
  <si>
    <t>DERIVACION 1 DE HILO</t>
  </si>
  <si>
    <t>ETIQUETADO</t>
  </si>
  <si>
    <t>R10</t>
  </si>
  <si>
    <t>828) LA IGLESIA DE JESUCRISTO DE LOS SANTOS CEDIS 2</t>
  </si>
  <si>
    <t>OT-313186</t>
  </si>
  <si>
    <t>-99,145,606</t>
  </si>
  <si>
    <t>HILOS</t>
  </si>
  <si>
    <t>-</t>
  </si>
  <si>
    <t>R10 GPON 2025</t>
  </si>
  <si>
    <t>GPON</t>
  </si>
  <si>
    <t>CIUDAD DE MEXICO</t>
  </si>
  <si>
    <t>CENTRO</t>
  </si>
  <si>
    <t>Tlalnepantla</t>
  </si>
  <si>
    <t>TK 96H</t>
  </si>
  <si>
    <t>2 HILOS</t>
  </si>
  <si>
    <t>GRIS</t>
  </si>
  <si>
    <t>AZ/NA</t>
  </si>
  <si>
    <t>No etiquetado</t>
  </si>
  <si>
    <t>R05</t>
  </si>
  <si>
    <t>137) Alimentos Practicos y Selectos</t>
  </si>
  <si>
    <t>OT-313176</t>
  </si>
  <si>
    <t>323-336</t>
  </si>
  <si>
    <t>-99,174,894</t>
  </si>
  <si>
    <t>R05 GPON 2025</t>
  </si>
  <si>
    <t>CMX H06_Naulcalpan</t>
  </si>
  <si>
    <t>ADMIN DOWN</t>
  </si>
  <si>
    <t>R23</t>
  </si>
  <si>
    <t>303) Más Vida</t>
  </si>
  <si>
    <t>OT-308320</t>
  </si>
  <si>
    <t>323-1975</t>
  </si>
  <si>
    <t>-99,182,239</t>
  </si>
  <si>
    <t>OADM</t>
  </si>
  <si>
    <t>R23 GPON 2025</t>
  </si>
  <si>
    <t>2 LAMBDAS</t>
  </si>
  <si>
    <t>CA/AZ</t>
  </si>
  <si>
    <t>CAFE</t>
  </si>
  <si>
    <t>AZ</t>
  </si>
  <si>
    <t>R07</t>
  </si>
  <si>
    <t>529) 4 LIFE</t>
  </si>
  <si>
    <t>OT-310749</t>
  </si>
  <si>
    <t>323-1707</t>
  </si>
  <si>
    <t>-9,919,562</t>
  </si>
  <si>
    <t>R07 GPON 2025</t>
  </si>
  <si>
    <t>9.42</t>
  </si>
  <si>
    <t>NEGRO</t>
  </si>
  <si>
    <t>NO ETIQUETADO</t>
  </si>
  <si>
    <t>MIGRADO A HUB 08 OFICINAS VALLEJO || AN03_RAX721B_GI1/2/46 || TIENE COMO ETIQUETA Compania_Mexicana_Textil</t>
  </si>
  <si>
    <t>R20</t>
  </si>
  <si>
    <t>561) DALTON SERVICIOS</t>
  </si>
  <si>
    <t>OT-313201</t>
  </si>
  <si>
    <t>323-2250</t>
  </si>
  <si>
    <t>-99,179,938</t>
  </si>
  <si>
    <t>R20 GPON 2025</t>
  </si>
  <si>
    <t>AZUL</t>
  </si>
  <si>
    <t>R02</t>
  </si>
  <si>
    <t>691) NILFISK DE MEXICO</t>
  </si>
  <si>
    <t>OT-308542</t>
  </si>
  <si>
    <t>63-53780</t>
  </si>
  <si>
    <t>-99,234,171</t>
  </si>
  <si>
    <t>R02 GPON 2025</t>
  </si>
  <si>
    <t>VERDE</t>
  </si>
  <si>
    <t>MIGRADO A HUB 31 SATELITE || PAN_NCS540_GI0/0/0/16</t>
  </si>
  <si>
    <t>R19</t>
  </si>
  <si>
    <t>820) GRUPO LAUMAN</t>
  </si>
  <si>
    <t>OT-308325</t>
  </si>
  <si>
    <t>323-2499</t>
  </si>
  <si>
    <t>R19 GPON 2025</t>
  </si>
  <si>
    <t>ROJO</t>
  </si>
  <si>
    <t>R21</t>
  </si>
  <si>
    <t>849) Municipio de Naucalpan de Juarez /Palacio Municipal SITIO 44</t>
  </si>
  <si>
    <t>OT-308335</t>
  </si>
  <si>
    <t>-99,231,773</t>
  </si>
  <si>
    <t>R21 GPON 2025</t>
  </si>
  <si>
    <t>OFF NET</t>
  </si>
  <si>
    <t>8.89</t>
  </si>
  <si>
    <t>BLANCO</t>
  </si>
  <si>
    <t>R31</t>
  </si>
  <si>
    <t>1040) Doble Vela S.A. de C.V.Santo Domingo 10_11_2023</t>
  </si>
  <si>
    <t>OT-313179</t>
  </si>
  <si>
    <t>323-2726</t>
  </si>
  <si>
    <t>-9,919,408</t>
  </si>
  <si>
    <t>R31 GPON 2025</t>
  </si>
  <si>
    <t>4.42</t>
  </si>
  <si>
    <t>VE/CA</t>
  </si>
  <si>
    <t>1496) Maquinaria Alfo SA de CV 10_11_23</t>
  </si>
  <si>
    <t>OT-310666</t>
  </si>
  <si>
    <t>323-1506</t>
  </si>
  <si>
    <t>-99,192,437</t>
  </si>
  <si>
    <t>NO SE A MIGRADO ACTUALMENTE EN AZCAPO|| AN03_ISCOM2948_AZCAPO_PORT_41</t>
  </si>
  <si>
    <t>R29</t>
  </si>
  <si>
    <t>1498) INTERCAM GRUPO FINANCIERO 10_11_23</t>
  </si>
  <si>
    <t>OT-313181</t>
  </si>
  <si>
    <t>323-802</t>
  </si>
  <si>
    <t>-99,191,027</t>
  </si>
  <si>
    <t>R29 GPON 2025</t>
  </si>
  <si>
    <t>VE/VE</t>
  </si>
  <si>
    <t>VE</t>
  </si>
  <si>
    <t>NO SE A MIGRADO ACTUALMENTE EN AZCAPO|| AN02_ISCOM2948_AZCAPO_PORT_48</t>
  </si>
  <si>
    <t>1499) INTERCAM BANCO S.A  10_11_23</t>
  </si>
  <si>
    <t>OT-313180</t>
  </si>
  <si>
    <t>323-463</t>
  </si>
  <si>
    <t>-99,191,099</t>
  </si>
  <si>
    <t>398) FONDEADORA 10_11_23</t>
  </si>
  <si>
    <t>OT-310794</t>
  </si>
  <si>
    <t>323-2062</t>
  </si>
  <si>
    <t>TK 96 H</t>
  </si>
  <si>
    <t>605) Club Unión A.C. Icami 06/08/2022</t>
  </si>
  <si>
    <t>OT-271332</t>
  </si>
  <si>
    <t>323-2376</t>
  </si>
  <si>
    <t>-99,177,571</t>
  </si>
  <si>
    <t>NARANJA</t>
  </si>
  <si>
    <t>Etiquetado</t>
  </si>
  <si>
    <t>654) Municipio de Naucalpan SITIO 4 SERV 2</t>
  </si>
  <si>
    <t>OT-308348</t>
  </si>
  <si>
    <t>-9,923,346</t>
  </si>
  <si>
    <t>GR/AZ</t>
  </si>
  <si>
    <t>R18</t>
  </si>
  <si>
    <t>1500) ABSORMEX CMPC 10_11_23</t>
  </si>
  <si>
    <t>OT-313153</t>
  </si>
  <si>
    <t>63-57741</t>
  </si>
  <si>
    <t>R18 GPON 2025</t>
  </si>
  <si>
    <t>CMX H09_Izcalli</t>
  </si>
  <si>
    <t>1501) TRANSPORTES SUVI 10_11_23</t>
  </si>
  <si>
    <t>OT-313152</t>
  </si>
  <si>
    <t>63-50630</t>
  </si>
  <si>
    <t>-99,185,781</t>
  </si>
  <si>
    <t>7.55</t>
  </si>
  <si>
    <t>R04</t>
  </si>
  <si>
    <t>340) VINYLASA/Vinylasa Losetas Asfalticas S de RL de CV</t>
  </si>
  <si>
    <t>OT-308370</t>
  </si>
  <si>
    <t>-99,111,208</t>
  </si>
  <si>
    <t>R04 GPON 2025</t>
  </si>
  <si>
    <t>CMX H29_Iztacalco</t>
  </si>
  <si>
    <t>R06</t>
  </si>
  <si>
    <t>736) GRUPO EI MULTISERVICIOS LOGÍSTICOS</t>
  </si>
  <si>
    <t>OT-308337</t>
  </si>
  <si>
    <t>-99,096,043</t>
  </si>
  <si>
    <t>R06 GPON 2025</t>
  </si>
  <si>
    <t>BL/AZ</t>
  </si>
  <si>
    <t>229) Megacable 1 Atizapan</t>
  </si>
  <si>
    <t>OT-308289</t>
  </si>
  <si>
    <t>63-71089</t>
  </si>
  <si>
    <t>CMX H30_Atizapan</t>
  </si>
  <si>
    <t>4.58</t>
  </si>
  <si>
    <t>880) LABORATORIOS QUIMPHARMA, TLALNEPARK II 11/11/2023</t>
  </si>
  <si>
    <t>OT-308367</t>
  </si>
  <si>
    <t>63-73076</t>
  </si>
  <si>
    <t>-99,214,199</t>
  </si>
  <si>
    <t>VE/AZ</t>
  </si>
  <si>
    <t>1502) DESARROLLO LOGISTICO 10_11_23</t>
  </si>
  <si>
    <t>OT-308437</t>
  </si>
  <si>
    <t>63-68206</t>
  </si>
  <si>
    <t>-9,920,976</t>
  </si>
  <si>
    <t>R14</t>
  </si>
  <si>
    <t>1637) Nueva Elektra del Milenio SA de CV, ECO 909</t>
  </si>
  <si>
    <t>OT-308441</t>
  </si>
  <si>
    <t>63-68382</t>
  </si>
  <si>
    <t>R14 GPON  2025</t>
  </si>
  <si>
    <t>TK  96H</t>
  </si>
  <si>
    <t>1.07</t>
  </si>
  <si>
    <t>85) FDA Sitio la Abeja</t>
  </si>
  <si>
    <t>OT-308551</t>
  </si>
  <si>
    <t>323-163</t>
  </si>
  <si>
    <t>-99,226,976</t>
  </si>
  <si>
    <t>CMX H31_Satelite</t>
  </si>
  <si>
    <t>237) City Express Plus Satelite Mundo E</t>
  </si>
  <si>
    <t>OT-308402</t>
  </si>
  <si>
    <t>63-70902</t>
  </si>
  <si>
    <t>-99,229,592</t>
  </si>
  <si>
    <t>454) IDENAP</t>
  </si>
  <si>
    <t>OT-308400</t>
  </si>
  <si>
    <t>63-71092</t>
  </si>
  <si>
    <t>-99,226,583</t>
  </si>
  <si>
    <t>NA/GR</t>
  </si>
  <si>
    <t>GR</t>
  </si>
  <si>
    <t>462) EQCO</t>
  </si>
  <si>
    <t>OT-308329</t>
  </si>
  <si>
    <t>323-2107</t>
  </si>
  <si>
    <t>-99,246,739</t>
  </si>
  <si>
    <t>NE/AZ</t>
  </si>
  <si>
    <t>550) ESTUDIOS CLINICOS DR OLAB ALCATRACES</t>
  </si>
  <si>
    <t>OT-308382</t>
  </si>
  <si>
    <t>63-72560</t>
  </si>
  <si>
    <t>-9,922,064</t>
  </si>
  <si>
    <t>594) SMART FIT JINETES</t>
  </si>
  <si>
    <t>OT-308368</t>
  </si>
  <si>
    <t>-9,913,641</t>
  </si>
  <si>
    <t>6.41</t>
  </si>
  <si>
    <t>R22</t>
  </si>
  <si>
    <t>782) TECNOLOGICO UNIVERSITARIO NAUCALPAN</t>
  </si>
  <si>
    <t>OT-308343</t>
  </si>
  <si>
    <t>-99,233,465</t>
  </si>
  <si>
    <t>R22 GPON 2025</t>
  </si>
  <si>
    <t>815) PRODALUM OFICINAS TLALNEPANTLA</t>
  </si>
  <si>
    <t>OT-308322</t>
  </si>
  <si>
    <t>-99,219,607</t>
  </si>
  <si>
    <t>872) PLOWSERVE - MOCUSARI</t>
  </si>
  <si>
    <t>OT-308413</t>
  </si>
  <si>
    <t>323-1832</t>
  </si>
  <si>
    <t>-99,245,042</t>
  </si>
  <si>
    <t>R01</t>
  </si>
  <si>
    <t>1062) NATURASOL CORPORATIVO</t>
  </si>
  <si>
    <t>OT-308313</t>
  </si>
  <si>
    <t>-99,233,325</t>
  </si>
  <si>
    <t>R01 GPON 2025</t>
  </si>
  <si>
    <t>1369) SPORTIUM</t>
  </si>
  <si>
    <t>OT-308446</t>
  </si>
  <si>
    <t>323-1393</t>
  </si>
  <si>
    <t>-99,210,972</t>
  </si>
  <si>
    <t>1379) ANDAMIOS Y EQUIPOS AMARILLOS</t>
  </si>
  <si>
    <t>OT-308428</t>
  </si>
  <si>
    <t>63-69215</t>
  </si>
  <si>
    <t>-99,225,502</t>
  </si>
  <si>
    <t>GR/BL</t>
  </si>
  <si>
    <t>1380) Nueva Elektra del Milenio SA de CV, ECO 200</t>
  </si>
  <si>
    <t>OT-308476</t>
  </si>
  <si>
    <t>63-65494</t>
  </si>
  <si>
    <t>-99,220,931</t>
  </si>
  <si>
    <t>1381) IDENAP SC</t>
  </si>
  <si>
    <t>OT-308452</t>
  </si>
  <si>
    <t>63-66955</t>
  </si>
  <si>
    <t>-99,226,563</t>
  </si>
  <si>
    <t>1382) IDENAP SC</t>
  </si>
  <si>
    <t>OT-308453</t>
  </si>
  <si>
    <t>63-67085</t>
  </si>
  <si>
    <t>1383) Farmacias del Ahorro Corporativo Monterrey</t>
  </si>
  <si>
    <t>OT-308550</t>
  </si>
  <si>
    <t>323-162</t>
  </si>
  <si>
    <t>R12</t>
  </si>
  <si>
    <t>1393) LABORATORIOS PETROLAB SA DE CV</t>
  </si>
  <si>
    <t>OT-308424</t>
  </si>
  <si>
    <t>63-69283</t>
  </si>
  <si>
    <t>-99,236,055</t>
  </si>
  <si>
    <t>R12 GPON 2025</t>
  </si>
  <si>
    <t>1394) SANATORIO TOLUCA</t>
  </si>
  <si>
    <t>OT-308491</t>
  </si>
  <si>
    <t>323-873</t>
  </si>
  <si>
    <t>-99,255,266</t>
  </si>
  <si>
    <t>1395) METEPEC MOTORS SA DE CV</t>
  </si>
  <si>
    <t>OT-308418</t>
  </si>
  <si>
    <t>323-1810</t>
  </si>
  <si>
    <t>-99,260,487</t>
  </si>
  <si>
    <t>R17</t>
  </si>
  <si>
    <t>1570) T5DC SA de CV</t>
  </si>
  <si>
    <t>OT-308420</t>
  </si>
  <si>
    <t>-99,255,569</t>
  </si>
  <si>
    <t>R17 GPON 2025</t>
  </si>
  <si>
    <t>AZ/NA F2</t>
  </si>
  <si>
    <t>1571) Farmacias del Ahorro Corporativo Monterrey</t>
  </si>
  <si>
    <t>OT-310526</t>
  </si>
  <si>
    <t>323-128</t>
  </si>
  <si>
    <t>-99,248,975</t>
  </si>
  <si>
    <t>5.25</t>
  </si>
  <si>
    <t>296) Cinemex Mundo E</t>
  </si>
  <si>
    <t>OT-308405</t>
  </si>
  <si>
    <t>63-70967</t>
  </si>
  <si>
    <t>-99,227,963</t>
  </si>
  <si>
    <t>Tlanepantla</t>
  </si>
  <si>
    <t>637) NAUCALPAN SITIO 1 (REDUNDANTE)</t>
  </si>
  <si>
    <t>OT-308361</t>
  </si>
  <si>
    <t>-99,233,694</t>
  </si>
  <si>
    <t>653)  NAUCALPAN SITIO 4 SERVICIO 1</t>
  </si>
  <si>
    <t>OT-308356</t>
  </si>
  <si>
    <t>-99,233,585</t>
  </si>
  <si>
    <t>R08</t>
  </si>
  <si>
    <t>418) SHIELD PROTECCION</t>
  </si>
  <si>
    <t>OT-308388</t>
  </si>
  <si>
    <t>-99,220,036</t>
  </si>
  <si>
    <t>R08 GPON 2025</t>
  </si>
  <si>
    <t>CMX H32_Gustavo Baz</t>
  </si>
  <si>
    <t>677) Artecola México S.A. de C.V. 02_10_2023</t>
  </si>
  <si>
    <t>OT-308507</t>
  </si>
  <si>
    <t>-99,124,313</t>
  </si>
  <si>
    <t>NA/AZ</t>
  </si>
  <si>
    <t>R09</t>
  </si>
  <si>
    <t>754) GRUPO DRAKO</t>
  </si>
  <si>
    <t>OT-308319</t>
  </si>
  <si>
    <t>R09 GPON 2025</t>
  </si>
  <si>
    <t>AZ/AZ</t>
  </si>
  <si>
    <t>766) EXTRUSIOMES METALICAS</t>
  </si>
  <si>
    <t>OT-308330</t>
  </si>
  <si>
    <t>-99,133,714</t>
  </si>
  <si>
    <t>837) PRINTAFORM NAUCALPAN</t>
  </si>
  <si>
    <t>OT-308316</t>
  </si>
  <si>
    <t>-99,221,364</t>
  </si>
  <si>
    <t>901) SITIO 20 NAUCALPAN</t>
  </si>
  <si>
    <t>OT-308360</t>
  </si>
  <si>
    <t>-9,913,388</t>
  </si>
  <si>
    <t>1405) MOENDI DISTRIBUCIÓN S.A.P.I. DE CV</t>
  </si>
  <si>
    <t>OT-308419</t>
  </si>
  <si>
    <t>-99,225,536</t>
  </si>
  <si>
    <t>1503) Consultoria Y Desarrollo Municipal 10_11_23</t>
  </si>
  <si>
    <t>OT-313137</t>
  </si>
  <si>
    <t>-99,220,825</t>
  </si>
  <si>
    <t>R14 GPON 2025</t>
  </si>
  <si>
    <t>1504) BB Cargo Group International  10_11_23</t>
  </si>
  <si>
    <t>OT-313138</t>
  </si>
  <si>
    <t>-99,219,963</t>
  </si>
  <si>
    <t>R13</t>
  </si>
  <si>
    <t>1572) City Express Corporativo</t>
  </si>
  <si>
    <t>OT-308284</t>
  </si>
  <si>
    <t>-99,219,638</t>
  </si>
  <si>
    <t>R13 GPON 2025</t>
  </si>
  <si>
    <t>1669) Municipio de Naucalpan de Juarez /Palacio Municipal SITIO</t>
  </si>
  <si>
    <t>OT-308338</t>
  </si>
  <si>
    <t>-99,229,902</t>
  </si>
  <si>
    <t>R11</t>
  </si>
  <si>
    <t>1670) Ay Güey / MEXICO PARRIBA 03_02_2024</t>
  </si>
  <si>
    <t>OT-308395</t>
  </si>
  <si>
    <t>-99,218,481</t>
  </si>
  <si>
    <t>R11 GPON 2025</t>
  </si>
  <si>
    <t>429) PAPALOTES STEEL</t>
  </si>
  <si>
    <t>OT-308392</t>
  </si>
  <si>
    <t>-99,203,664</t>
  </si>
  <si>
    <t>CMX H33_Industrial</t>
  </si>
  <si>
    <t>NA</t>
  </si>
  <si>
    <t>1145) Konica Minolta Business Solutions De México</t>
  </si>
  <si>
    <t>OT-308290</t>
  </si>
  <si>
    <t>-99,207,991</t>
  </si>
  <si>
    <t>NA/NA</t>
  </si>
  <si>
    <t>1409) Karcher Mexico Sa de CV</t>
  </si>
  <si>
    <t>OT-308486</t>
  </si>
  <si>
    <t>4.32</t>
  </si>
  <si>
    <t>1410) Nueva Elektra del Milenio SA de CV, ECO 4901</t>
  </si>
  <si>
    <t>OT-308460</t>
  </si>
  <si>
    <t>1412) Super Servicio DLT SA de CV ( Transportes Brago)</t>
  </si>
  <si>
    <t>OT-308535</t>
  </si>
  <si>
    <t>1426) Aceros Caf SA de CV</t>
  </si>
  <si>
    <t>OT-308417</t>
  </si>
  <si>
    <t>1427) GLOBAL GAS CORPORATIVO, S.A. DE C.V.</t>
  </si>
  <si>
    <t>OT-308531</t>
  </si>
  <si>
    <t>1428) INNOVAZIONE AGENTE DE SEGUROS, S.A. DE C.V.</t>
  </si>
  <si>
    <t>OT-308505</t>
  </si>
  <si>
    <t>1430) GTM MÉXICO PRODUCTS AND SERVICES S.A DE CV</t>
  </si>
  <si>
    <t>OT-308301</t>
  </si>
  <si>
    <t>1434) IFF MÉXICO</t>
  </si>
  <si>
    <t>OT-313117</t>
  </si>
  <si>
    <t>1440) Zermat Internacional</t>
  </si>
  <si>
    <t>OT-313142</t>
  </si>
  <si>
    <t>CA/NA</t>
  </si>
  <si>
    <t>278) Construmac, S.A.P.I. de C.V 16_10_2023</t>
  </si>
  <si>
    <t>OT-313134</t>
  </si>
  <si>
    <t>-9,920,445</t>
  </si>
  <si>
    <t>290) DACLAF</t>
  </si>
  <si>
    <t>OT-308397</t>
  </si>
  <si>
    <t>-99,211,141</t>
  </si>
  <si>
    <t>331) GAS EXPRESS NIETO (AZCAPOTZALCO)</t>
  </si>
  <si>
    <t>OT-313151</t>
  </si>
  <si>
    <t>-99,190,097</t>
  </si>
  <si>
    <t>332) Plowserve - Romana 2</t>
  </si>
  <si>
    <t>OT-308411</t>
  </si>
  <si>
    <t>353) Motel Autoparador del Valle</t>
  </si>
  <si>
    <t>OT-313112</t>
  </si>
  <si>
    <t>-99,209,456</t>
  </si>
  <si>
    <t>455) GGD BANDAS Y SERVICIOS</t>
  </si>
  <si>
    <t>OT-308380</t>
  </si>
  <si>
    <t>-99,203,355</t>
  </si>
  <si>
    <t>509) Corporativo Legaxxi</t>
  </si>
  <si>
    <t>OT-313122</t>
  </si>
  <si>
    <t>-99,121,742</t>
  </si>
  <si>
    <t>R06 GPON  2024</t>
  </si>
  <si>
    <t>573) AAA COSMETICA</t>
  </si>
  <si>
    <t>OT-313126</t>
  </si>
  <si>
    <t>-99,211,383</t>
  </si>
  <si>
    <t>R06 GPON  2025</t>
  </si>
  <si>
    <t>574) AAA COSMETICA - Almacén 1</t>
  </si>
  <si>
    <t>OT-313127</t>
  </si>
  <si>
    <t>-99,213,668</t>
  </si>
  <si>
    <t>575) AAA COSMETICA - Almacén 2</t>
  </si>
  <si>
    <t>OT-313128</t>
  </si>
  <si>
    <t>-99,210,485</t>
  </si>
  <si>
    <t>640) SRIA AGRICULTURA Y DESARROLLO RURAL</t>
  </si>
  <si>
    <t>OT-313107</t>
  </si>
  <si>
    <t>668) TALLER CHEVROLET</t>
  </si>
  <si>
    <t>OT-308336</t>
  </si>
  <si>
    <t>678) DATAVOICE</t>
  </si>
  <si>
    <t>OT-308328</t>
  </si>
  <si>
    <t>R03</t>
  </si>
  <si>
    <t>740) 3TI_MIGUEL HIDALGO</t>
  </si>
  <si>
    <t>OT-308326</t>
  </si>
  <si>
    <t>R03 GPON 2025</t>
  </si>
  <si>
    <t>745) SANYMX EQUIPMENT &amp; TECHNOLOGY SA DE CV 22_01_2024</t>
  </si>
  <si>
    <t>OT-313149</t>
  </si>
  <si>
    <t>-99,185,257</t>
  </si>
  <si>
    <t>858) ECO 9793 MEGA PLAZA MILLENIUM TLANEPANTLA</t>
  </si>
  <si>
    <t>OT-308332</t>
  </si>
  <si>
    <t>887) SMART FIT CENTRUM PARK</t>
  </si>
  <si>
    <t>OT-313129</t>
  </si>
  <si>
    <t>-99,206,778</t>
  </si>
  <si>
    <t>934) CUSAEM</t>
  </si>
  <si>
    <t>OT-313130</t>
  </si>
  <si>
    <t>-99,212,026</t>
  </si>
  <si>
    <t>R16</t>
  </si>
  <si>
    <t>954) CUSAEM 10_01_2023</t>
  </si>
  <si>
    <t>OT-308310</t>
  </si>
  <si>
    <t>-99,170,031</t>
  </si>
  <si>
    <t>R16 GPON 2025</t>
  </si>
  <si>
    <t>992) CMONIT</t>
  </si>
  <si>
    <t>OT-308314</t>
  </si>
  <si>
    <t>-99,165,915</t>
  </si>
  <si>
    <t>R16 GPON  2025</t>
  </si>
  <si>
    <t>1012) LEXUS EDITORES S.A. DE C.V</t>
  </si>
  <si>
    <t>​OT-313135</t>
  </si>
  <si>
    <t>R08 GPON  2027</t>
  </si>
  <si>
    <t>1116) Regus Centrum Park</t>
  </si>
  <si>
    <t>OT-313131</t>
  </si>
  <si>
    <t>-99,206,929</t>
  </si>
  <si>
    <t>1408) Distribuidora Moyel SA de CV</t>
  </si>
  <si>
    <t>OT-308409</t>
  </si>
  <si>
    <t>1411) Nueva Elektra del Milenio SA de CV, ECO 4903</t>
  </si>
  <si>
    <t>OT-308462</t>
  </si>
  <si>
    <t>1413) Corporación Zapata, S.A. de C.V. (ZAPATA III)</t>
  </si>
  <si>
    <t>OT-313111</t>
  </si>
  <si>
    <t>4.45</t>
  </si>
  <si>
    <t>1414) CONVERTO &amp; QUINHER SA DE CV</t>
  </si>
  <si>
    <t>OT-313136</t>
  </si>
  <si>
    <t>-99,210,253</t>
  </si>
  <si>
    <t>1418) Ipeth</t>
  </si>
  <si>
    <t>OT-308489</t>
  </si>
  <si>
    <t>1419) Corporación Zapata, S.A. de C.V. (ZAPATA III)</t>
  </si>
  <si>
    <t>OT-313108</t>
  </si>
  <si>
    <t>-99,201,417</t>
  </si>
  <si>
    <t>1.81</t>
  </si>
  <si>
    <t>1420)  LALA Administracion Y Control S.A. De C.V.</t>
  </si>
  <si>
    <t>OT-313123</t>
  </si>
  <si>
    <t>-99,205,645</t>
  </si>
  <si>
    <t>1421) Data Evolution S.A de C.V.</t>
  </si>
  <si>
    <t>OT-313125</t>
  </si>
  <si>
    <t>-99,206,494</t>
  </si>
  <si>
    <t>1423) Nueva Elektra del Milenio SA de CV, ECO 1928</t>
  </si>
  <si>
    <t>OT-308478</t>
  </si>
  <si>
    <t>R02 GPON  2025</t>
  </si>
  <si>
    <t>1424) PLOWSERVE ROMANA 1</t>
  </si>
  <si>
    <t>1425) DEACERO SAPI DE CV</t>
  </si>
  <si>
    <t>OT-310523</t>
  </si>
  <si>
    <t>1429) Servicios Corporativos Azinsa SA de CV</t>
  </si>
  <si>
    <t>OT-308508</t>
  </si>
  <si>
    <t>1431) Spirax Sarco Mexicana</t>
  </si>
  <si>
    <t>OT-313114</t>
  </si>
  <si>
    <t>3.46</t>
  </si>
  <si>
    <t>1432) Silicatos y Derivados SA de CV</t>
  </si>
  <si>
    <t>OT-313115</t>
  </si>
  <si>
    <t>1433) Railtech Calomex S. de R.L. de C.V.</t>
  </si>
  <si>
    <t>OT-313116</t>
  </si>
  <si>
    <t>1435) Frialsa Frigoríficos SA de CV</t>
  </si>
  <si>
    <t>OT-308492</t>
  </si>
  <si>
    <t>1436) Alvaco Enterprises, S.A. de C.V.</t>
  </si>
  <si>
    <t>OT-308299</t>
  </si>
  <si>
    <t>1437) Enersys de Mexico s de rl de cv</t>
  </si>
  <si>
    <t>OT-313174</t>
  </si>
  <si>
    <t>1438) Plasticos Capri SA de CV</t>
  </si>
  <si>
    <t>OT-313132</t>
  </si>
  <si>
    <t>1439) Fábrica Nacional de Lijas S.A. de C.V. (FANDELI)</t>
  </si>
  <si>
    <t>OT-313140</t>
  </si>
  <si>
    <t>1441) GRUPO INDUSTRIAL ARTES GRAFICAS</t>
  </si>
  <si>
    <t>OT-313143</t>
  </si>
  <si>
    <t>1442) Elastomeros Taza SA de CV</t>
  </si>
  <si>
    <t>OT-313144</t>
  </si>
  <si>
    <t>1443) IBS de Mexico S.A. de C.V.</t>
  </si>
  <si>
    <t>OT-313145</t>
  </si>
  <si>
    <t>1444) TUBOS MEXICANOS FLEXIBLES SA DE CV</t>
  </si>
  <si>
    <t>OT-313146</t>
  </si>
  <si>
    <t>1445) Ansul / Johnson Controls De Mexico SA de CV</t>
  </si>
  <si>
    <t>OT-313147</t>
  </si>
  <si>
    <t>1446) LSC COMMUNICATIONS PENDAFLEX MEXICO</t>
  </si>
  <si>
    <t>OT-313148</t>
  </si>
  <si>
    <t>1447) ECO 2574</t>
  </si>
  <si>
    <t>OT-313139</t>
  </si>
  <si>
    <t>1448) Bulkmatic de México</t>
  </si>
  <si>
    <t>OT-308506</t>
  </si>
  <si>
    <t>1469) Auto Líneas Regiomontanas 09_11_23</t>
  </si>
  <si>
    <t>OT-308426</t>
  </si>
  <si>
    <t>-99,177,567</t>
  </si>
  <si>
    <t>1492) NatGas Querétaro 10_11_23</t>
  </si>
  <si>
    <t>OT-308327</t>
  </si>
  <si>
    <t>-99,181,172</t>
  </si>
  <si>
    <t>1493) SERVICIO CONDESA DE ZACATECAS 10_11_23</t>
  </si>
  <si>
    <t>OT-308323</t>
  </si>
  <si>
    <t>-99,179,665</t>
  </si>
  <si>
    <t>10.33</t>
  </si>
  <si>
    <t>1574) INTERLAKEN MAQUINARIA SA DE CV</t>
  </si>
  <si>
    <t>OT-308407</t>
  </si>
  <si>
    <t>-99,114,665</t>
  </si>
  <si>
    <t>1575) ECO 6819</t>
  </si>
  <si>
    <t>OT-313133</t>
  </si>
  <si>
    <t>-99,192,498</t>
  </si>
  <si>
    <t>2.35</t>
  </si>
  <si>
    <t>1576) LSC COMMUNICATIONS PENDAFLEX MEXICO</t>
  </si>
  <si>
    <t>-9,920,015</t>
  </si>
  <si>
    <t>2 HILOD</t>
  </si>
  <si>
    <t>1580) Grupo Idesa SA de CV</t>
  </si>
  <si>
    <t>OT-308519</t>
  </si>
  <si>
    <t>-99,199,266</t>
  </si>
  <si>
    <t>1609)  Farmacias del Ahorro Corporativo Monterrey</t>
  </si>
  <si>
    <t>OT-313207</t>
  </si>
  <si>
    <t>-99,204,391</t>
  </si>
  <si>
    <t>1625) Nueva Elektra del Milenio SA de CV, ECO 4111 TLALNEPANTLA CENTRO 22_01_2024</t>
  </si>
  <si>
    <t>OT-308461</t>
  </si>
  <si>
    <t>-99,193,492</t>
  </si>
  <si>
    <t>1626) Nueva Elektra del Milenio SA de CV, ECO 1067 La Romana-Av.Hidalgo 22_01_2024</t>
  </si>
  <si>
    <t>OT-308475</t>
  </si>
  <si>
    <t>-99,194,367</t>
  </si>
  <si>
    <t>2.67</t>
  </si>
  <si>
    <t>1627) Nueva Elektra del Milenio SA de CV, ECO 5537 La Romana-Rio Lerma 22_01_2024</t>
  </si>
  <si>
    <t>OT-308481</t>
  </si>
  <si>
    <t>-99,192,574</t>
  </si>
  <si>
    <t>1628) Nueva Elektra del Milenio SA de CV TEQUEXQUINAHUAC ECO 3445 22_01_2024</t>
  </si>
  <si>
    <t>OT-308439</t>
  </si>
  <si>
    <t>-99,203,446</t>
  </si>
  <si>
    <t>1629) Nueva Elektra del Milenio SA de CV TEQUEXQUINAHUAC ECO 2072 22_01_2024</t>
  </si>
  <si>
    <t>OT-308477</t>
  </si>
  <si>
    <t>-99,202,956</t>
  </si>
  <si>
    <t>1647) Nueva Elektra del Milenio SA de CV Los Reyes Ixtacala ECO 6819 22_01_2024</t>
  </si>
  <si>
    <t>OT-308484</t>
  </si>
  <si>
    <t>1648) Nueva Elektra del Milenio Industrial Sn Jose SA de CV ECO 2574 22_01_2024</t>
  </si>
  <si>
    <t>OT-313124</t>
  </si>
  <si>
    <t>-99,209,163</t>
  </si>
  <si>
    <t>1671) Nueva Elektra del Milenio SA de CV Santa Rosa ECO 9562 22_01_2024</t>
  </si>
  <si>
    <t>OT-308470</t>
  </si>
  <si>
    <t>-99,172,634</t>
  </si>
  <si>
    <t>11.67</t>
  </si>
  <si>
    <t>1794) MOTEL AUTOPARTES DEL VALLE</t>
  </si>
  <si>
    <t>OT-313113</t>
  </si>
  <si>
    <t>1630) SMART FIT 22_01_2024</t>
  </si>
  <si>
    <t>OT-313118</t>
  </si>
  <si>
    <t>-99,206,235</t>
  </si>
  <si>
    <t>1680) FANDELI MORELOS</t>
  </si>
  <si>
    <t>OT-313141</t>
  </si>
  <si>
    <t>-99,206,806</t>
  </si>
  <si>
    <t>2.39</t>
  </si>
  <si>
    <t>1390) Nueva Elektra del Milenio SA de CV, ECO 4614</t>
  </si>
  <si>
    <t>OT-308438</t>
  </si>
  <si>
    <t>-99,118,792</t>
  </si>
  <si>
    <t>CMX H34_Ticoman</t>
  </si>
  <si>
    <t>1487) Brudifarma SA de CV  10_11_23</t>
  </si>
  <si>
    <t>OT-308548</t>
  </si>
  <si>
    <t>-99,104,224</t>
  </si>
  <si>
    <t>4.82</t>
  </si>
  <si>
    <t>1488) GCH Seguridad Privada</t>
  </si>
  <si>
    <t>OT-308529</t>
  </si>
  <si>
    <t>-99,115,909</t>
  </si>
  <si>
    <t>1489) GLOBAL GAS CORPORATIVO 10_11_23</t>
  </si>
  <si>
    <t>OT-308532</t>
  </si>
  <si>
    <t>-99,113,148</t>
  </si>
  <si>
    <t>1490) GLOBAL GAS CORPORATIVO 10_11_23</t>
  </si>
  <si>
    <t>OT-308515</t>
  </si>
  <si>
    <t>-99,113,032</t>
  </si>
  <si>
    <t>1491) Transportes Auto Tanques Ochoa 10_11_23</t>
  </si>
  <si>
    <t>OT-308288</t>
  </si>
  <si>
    <t>-99,117,077</t>
  </si>
  <si>
    <t>1505) ANDAMIOS Y EQUIPOS AMARILLOS 10_11_23</t>
  </si>
  <si>
    <t>OT-310773</t>
  </si>
  <si>
    <t>-99,132,513</t>
  </si>
  <si>
    <t>1506) Cinemex / Operadora de Cinemas 10_11_23</t>
  </si>
  <si>
    <t>OT-310786</t>
  </si>
  <si>
    <t>448) Poder Judicial del Estado de México (PEJEM 34)</t>
  </si>
  <si>
    <t>OT-308546</t>
  </si>
  <si>
    <t>-99,195,675</t>
  </si>
  <si>
    <t>CMX H37_Barrientos</t>
  </si>
  <si>
    <t>482) Cemex Operaciones México - Planta Barrientos</t>
  </si>
  <si>
    <t>OT-308401</t>
  </si>
  <si>
    <t>-99,200,452</t>
  </si>
  <si>
    <t>978) Industrial Aceitera</t>
  </si>
  <si>
    <t>OT-308306</t>
  </si>
  <si>
    <t>1463) CONSTRUSISTEM SA DE CV</t>
  </si>
  <si>
    <t>OT-308523</t>
  </si>
  <si>
    <t>-9,919,845</t>
  </si>
  <si>
    <t>1464) HOLIDAY INN PERINORTE</t>
  </si>
  <si>
    <t>OT-308549</t>
  </si>
  <si>
    <t>-99,202,969</t>
  </si>
  <si>
    <t>1465) MARKCOM TELECOM</t>
  </si>
  <si>
    <t>OT-308458</t>
  </si>
  <si>
    <t>-9,919,503</t>
  </si>
  <si>
    <t>1467) Qualtia Alimentos y Operaciones</t>
  </si>
  <si>
    <t>OT-308534</t>
  </si>
  <si>
    <t>-99,199,994</t>
  </si>
  <si>
    <t>1468) Tepehuana S.A. de C.V.</t>
  </si>
  <si>
    <t>OT-313109</t>
  </si>
  <si>
    <t>-99,203,916</t>
  </si>
  <si>
    <t>1581) Grupo Cidey SAde CV</t>
  </si>
  <si>
    <t>OT-308496</t>
  </si>
  <si>
    <t>1462) AMPM</t>
  </si>
  <si>
    <t>​OT-308422</t>
  </si>
  <si>
    <t>-99,203,064</t>
  </si>
  <si>
    <t>R01 GPON</t>
  </si>
  <si>
    <t>1466) SAG Mexico SA de CV</t>
  </si>
  <si>
    <t>OT-308509</t>
  </si>
  <si>
    <t>-99,198,988</t>
  </si>
  <si>
    <t>1683) CPA CONSULTURIA DE NEGOCIOS 09_02_2024</t>
  </si>
  <si>
    <t>OT-313223</t>
  </si>
  <si>
    <t>-99,199,694</t>
  </si>
  <si>
    <t>2284) Exel Mexicana</t>
  </si>
  <si>
    <t>GP: 29491</t>
  </si>
  <si>
    <t>-99,203,245</t>
  </si>
  <si>
    <t>63-87637</t>
  </si>
  <si>
    <t>1002)  LOGISTICS &amp; OPERATIONS EXPERT GROUP 30_11_2023</t>
  </si>
  <si>
    <t>OT-313216</t>
  </si>
  <si>
    <t>19,636,043</t>
  </si>
  <si>
    <t>CMX H38_Tultitlan</t>
  </si>
  <si>
    <t>1520) TEKA MEXICANA SA DE CV 11_11_23</t>
  </si>
  <si>
    <t>OT-308318</t>
  </si>
  <si>
    <t>-99,144,118</t>
  </si>
  <si>
    <t>AOMD</t>
  </si>
  <si>
    <t>1521) NIKE DE MEXICO 11_11_23</t>
  </si>
  <si>
    <t>OT-310555</t>
  </si>
  <si>
    <t>-99,150,064</t>
  </si>
  <si>
    <t>1522) Oriflame de Mexico SA de CV 11_11_23</t>
  </si>
  <si>
    <t>OT-313170</t>
  </si>
  <si>
    <t>-99,145,525</t>
  </si>
  <si>
    <t>1526) OXXO GAS 11_11_23</t>
  </si>
  <si>
    <t>OT-313158</t>
  </si>
  <si>
    <t>-99,166,989</t>
  </si>
  <si>
    <t>1527) URBAN ARENA SA DE CV 11_11_23</t>
  </si>
  <si>
    <t>OT-313168</t>
  </si>
  <si>
    <t>-99,153,537</t>
  </si>
  <si>
    <t>510) FRUIT2DAY 11_11_23</t>
  </si>
  <si>
    <t>OT-308374</t>
  </si>
  <si>
    <t>-99,166,354</t>
  </si>
  <si>
    <t>R07 GPON</t>
  </si>
  <si>
    <t>475) FULTRA</t>
  </si>
  <si>
    <t>OT-308390</t>
  </si>
  <si>
    <t>-99,208,501</t>
  </si>
  <si>
    <t>CMX H39_Claustros</t>
  </si>
  <si>
    <t>RO/GR</t>
  </si>
  <si>
    <t>ESTATUS</t>
  </si>
  <si>
    <t># ACTIVO</t>
  </si>
  <si>
    <t>ETIQUETA MEGA</t>
  </si>
  <si>
    <t>ELEMENTO DE RED</t>
  </si>
  <si>
    <t>SUBTIPO</t>
  </si>
  <si>
    <t># SERIE</t>
  </si>
  <si>
    <t>MARCA</t>
  </si>
  <si>
    <t>MODELO</t>
  </si>
  <si>
    <t>CODIGO</t>
  </si>
  <si>
    <t>FIN DE SOPORTE</t>
  </si>
  <si>
    <t>APLICATIVO</t>
  </si>
  <si>
    <t>SISTEMA OPERATIVO</t>
  </si>
  <si>
    <t>VERSION OPERATIVA</t>
  </si>
  <si>
    <t>IPv4 ADDRESS</t>
  </si>
  <si>
    <t>HOSTNAME</t>
  </si>
  <si>
    <t>NOMBRE COMÚN</t>
  </si>
  <si>
    <t>NO SUCURSAL</t>
  </si>
  <si>
    <t>CIUDAD</t>
  </si>
  <si>
    <t>EMPIEZA RACK</t>
  </si>
  <si>
    <t>FILA</t>
  </si>
  <si>
    <t>RACK</t>
  </si>
  <si>
    <t>POSICION RACK</t>
  </si>
  <si>
    <t>DEPARTAMENTO</t>
  </si>
  <si>
    <t>UNIDAD DE NEGOCIO</t>
  </si>
  <si>
    <t>SITE</t>
  </si>
  <si>
    <t>COSTO USD</t>
  </si>
  <si>
    <t>AREA</t>
  </si>
  <si>
    <t>ROUTER</t>
  </si>
  <si>
    <t>CHASIS</t>
  </si>
  <si>
    <t>CAT2347V026</t>
  </si>
  <si>
    <t>CISCO</t>
  </si>
  <si>
    <t>ASR-920-24SZ-IM</t>
  </si>
  <si>
    <t>LINUX</t>
  </si>
  <si>
    <t>Cisco IOS XE Software</t>
  </si>
  <si>
    <t>Version 17.03.08</t>
  </si>
  <si>
    <t>10.4.95.97</t>
  </si>
  <si>
    <t>PAN_ASR920_NICOLAS_ROMERO</t>
  </si>
  <si>
    <t>CDMX</t>
  </si>
  <si>
    <t>INGENIERIA</t>
  </si>
  <si>
    <t>CMX H01_Nicolas R</t>
  </si>
  <si>
    <t>39779.82</t>
  </si>
  <si>
    <t>SFP</t>
  </si>
  <si>
    <t>S17508X1378</t>
  </si>
  <si>
    <t>RAISECOM</t>
  </si>
  <si>
    <t>USFP-Gb/S1-D-R</t>
  </si>
  <si>
    <t>Gi0/0/0</t>
  </si>
  <si>
    <t>75.75</t>
  </si>
  <si>
    <t>USFP-Gb/S1-I</t>
  </si>
  <si>
    <t>Gi0/0/1</t>
  </si>
  <si>
    <t>MS82211250683</t>
  </si>
  <si>
    <t>FHTEK</t>
  </si>
  <si>
    <t>FMS-24CMD-59</t>
  </si>
  <si>
    <t>Gi0/0/3</t>
  </si>
  <si>
    <t>MNC213600561</t>
  </si>
  <si>
    <t>Gi0/0/22</t>
  </si>
  <si>
    <t>01306S20424U0031</t>
  </si>
  <si>
    <t>Gi0/0/23</t>
  </si>
  <si>
    <t>FLJ1911K00J</t>
  </si>
  <si>
    <t>SFP-10G-ZR</t>
  </si>
  <si>
    <t>Te0/0/24</t>
  </si>
  <si>
    <t>T15F92660</t>
  </si>
  <si>
    <t>SFP+ 10GBASE-ER</t>
  </si>
  <si>
    <t>Te0/0/25</t>
  </si>
  <si>
    <t>VE180405451</t>
  </si>
  <si>
    <t>Te0/0/26</t>
  </si>
  <si>
    <t>375.00</t>
  </si>
  <si>
    <t>SWITCH</t>
  </si>
  <si>
    <t>101622000204S21B15S0014G</t>
  </si>
  <si>
    <t>ISCOM2948GF-4C-DC/D</t>
  </si>
  <si>
    <t>REAP_1.2.4048_20220424</t>
  </si>
  <si>
    <t>Version: 5.2.1</t>
  </si>
  <si>
    <t>10.4.95.98</t>
  </si>
  <si>
    <t>AN01_ISCOM2948_HUB_NR</t>
  </si>
  <si>
    <t>3895.00</t>
  </si>
  <si>
    <t>MS82110120728</t>
  </si>
  <si>
    <t>FMS-24CMD-55</t>
  </si>
  <si>
    <t>37.17</t>
  </si>
  <si>
    <t>MS82110210295</t>
  </si>
  <si>
    <t>FMS-24CMD-47</t>
  </si>
  <si>
    <t>FC910310979</t>
  </si>
  <si>
    <t>SFP UNIVERSAL</t>
  </si>
  <si>
    <t>SFPGECWDM-51-40K</t>
  </si>
  <si>
    <t>67.00</t>
  </si>
  <si>
    <t>30201100681891</t>
  </si>
  <si>
    <t>SJ43200620</t>
  </si>
  <si>
    <t>USFP-Gb/S2-D-R</t>
  </si>
  <si>
    <t>195.10</t>
  </si>
  <si>
    <t>30201100680965</t>
  </si>
  <si>
    <t>01306S23616U5185</t>
  </si>
  <si>
    <t>FC104090034</t>
  </si>
  <si>
    <t>SFPGECWDM-47-40K</t>
  </si>
  <si>
    <t>FC10513141</t>
  </si>
  <si>
    <t>FC10528541</t>
  </si>
  <si>
    <t>SFPGECWDM-55-40K</t>
  </si>
  <si>
    <t>FC10513272</t>
  </si>
  <si>
    <t>MS82110212370</t>
  </si>
  <si>
    <t>MS82110212359</t>
  </si>
  <si>
    <t>MS82110210172</t>
  </si>
  <si>
    <t>MS82110211798</t>
  </si>
  <si>
    <t>MS82110210879</t>
  </si>
  <si>
    <t>FMS-24CMD-51</t>
  </si>
  <si>
    <t>REAP_1.2.4048_20220425</t>
  </si>
  <si>
    <t>10.4.95.99</t>
  </si>
  <si>
    <t>MS82110210363</t>
  </si>
  <si>
    <t>REAP_1.2.4048_20220426</t>
  </si>
  <si>
    <t>FC806150009</t>
  </si>
  <si>
    <t>REAP_1.2.4048_20220427</t>
  </si>
  <si>
    <t>MS82110210277</t>
  </si>
  <si>
    <t>REAP_1.2.4048_20220428</t>
  </si>
  <si>
    <t>MS82211250687</t>
  </si>
  <si>
    <t>REAP_1.2.4048_20220429</t>
  </si>
  <si>
    <t>EC132800290111</t>
  </si>
  <si>
    <t>OEM</t>
  </si>
  <si>
    <t>SFP-GE-CWDM-51</t>
  </si>
  <si>
    <t>REAP_1.2.4048_20220430</t>
  </si>
  <si>
    <t>30201100682625</t>
  </si>
  <si>
    <t>REAP_1.2.4048_20220431</t>
  </si>
  <si>
    <t>30201100682627</t>
  </si>
  <si>
    <t>REAP_1.2.4048_20220432</t>
  </si>
  <si>
    <t>MNC213600910</t>
  </si>
  <si>
    <t>REAP_1.2.4048_20220433</t>
  </si>
  <si>
    <t>101614001107S21312S0002G</t>
  </si>
  <si>
    <t>ISCOM2924GF-4C-DC/D</t>
  </si>
  <si>
    <t>Version: 5.2.2</t>
  </si>
  <si>
    <t>10.4.166.2</t>
  </si>
  <si>
    <t>AN01_ISCOM2924_ALTAN_NRMO</t>
  </si>
  <si>
    <t>40704.17</t>
  </si>
  <si>
    <t>00307S21118U0340</t>
  </si>
  <si>
    <t>00307S21118U0339</t>
  </si>
  <si>
    <t>X</t>
  </si>
  <si>
    <t>00307S21118U0300</t>
  </si>
  <si>
    <t>00307S21118U0295</t>
  </si>
  <si>
    <t>00307S21118U0338</t>
  </si>
  <si>
    <t>00307S18928U0475</t>
  </si>
  <si>
    <t>SH4H031203</t>
  </si>
  <si>
    <t>01306S20424U0036</t>
  </si>
  <si>
    <t>MA18491070729</t>
  </si>
  <si>
    <t>HG GENUINE</t>
  </si>
  <si>
    <t>MTRS-02X13-G</t>
  </si>
  <si>
    <t>1120.00</t>
  </si>
  <si>
    <t>CHASSIS</t>
  </si>
  <si>
    <t>FOX2112PLC8</t>
  </si>
  <si>
    <t>Cisco</t>
  </si>
  <si>
    <t>ASR903</t>
  </si>
  <si>
    <t>S/C</t>
  </si>
  <si>
    <t>Version 16.09.03</t>
  </si>
  <si>
    <t>10.4.139.129</t>
  </si>
  <si>
    <t>PAN_ASR903_ATIZAPAN</t>
  </si>
  <si>
    <t>Atizapan de Zaragoz</t>
  </si>
  <si>
    <t>43-46</t>
  </si>
  <si>
    <t>NO</t>
  </si>
  <si>
    <t>20230.76</t>
  </si>
  <si>
    <t>30201100680555</t>
  </si>
  <si>
    <t>30201100682369</t>
  </si>
  <si>
    <t>MS82211250471</t>
  </si>
  <si>
    <t>MS82110212429</t>
  </si>
  <si>
    <t>101614001106S18630S0011G</t>
  </si>
  <si>
    <t>ISCOM2924GF</t>
  </si>
  <si>
    <t>REAP_1.2.3978_20190308</t>
  </si>
  <si>
    <t>AN01_ISCOM2924_ATZ</t>
  </si>
  <si>
    <t>METROCARRIER</t>
  </si>
  <si>
    <t>A28351</t>
  </si>
  <si>
    <t>103002033901A24319A0008G</t>
  </si>
  <si>
    <t>RAX721-B</t>
  </si>
  <si>
    <t>6.4.11_20231127</t>
  </si>
  <si>
    <t>10.2.30_20231127</t>
  </si>
  <si>
    <t>AN02_RAX721B_HUB_ATIZAPAN</t>
  </si>
  <si>
    <t>0.01</t>
  </si>
  <si>
    <t>No. HUB</t>
  </si>
  <si>
    <t>NOMBRE DEL HUB</t>
  </si>
  <si>
    <t>HUB-1</t>
  </si>
  <si>
    <t>NICOLAS ROMERO</t>
  </si>
  <si>
    <t>HUB-2</t>
  </si>
  <si>
    <t>HUEHUETOCA VIEJO</t>
  </si>
  <si>
    <t>HUB-2.1</t>
  </si>
  <si>
    <t>HUEHUETOCA NUEVO</t>
  </si>
  <si>
    <t>HUB-3</t>
  </si>
  <si>
    <t>ZUMPANGO</t>
  </si>
  <si>
    <t>HUB-4</t>
  </si>
  <si>
    <t>TEXCOCO</t>
  </si>
  <si>
    <t>HUB-5</t>
  </si>
  <si>
    <t>ATOTONILCO</t>
  </si>
  <si>
    <t>HUB-6</t>
  </si>
  <si>
    <t>NAUCALPAN</t>
  </si>
  <si>
    <t>HUB-7</t>
  </si>
  <si>
    <t>CUATITLAN</t>
  </si>
  <si>
    <t>HUB-8</t>
  </si>
  <si>
    <t>VALLEJO PTE</t>
  </si>
  <si>
    <t>HUB-9</t>
  </si>
  <si>
    <t>IZCALLI</t>
  </si>
  <si>
    <t>HUB-10</t>
  </si>
  <si>
    <t>ARAGON</t>
  </si>
  <si>
    <t>HUB-11</t>
  </si>
  <si>
    <t>VILLA DEL CARBON</t>
  </si>
  <si>
    <t>HUB-12</t>
  </si>
  <si>
    <t>CHALCO</t>
  </si>
  <si>
    <t>HUB-13</t>
  </si>
  <si>
    <t>TACUBAYA</t>
  </si>
  <si>
    <t>HUB-14</t>
  </si>
  <si>
    <t>MERCED ACTUAL</t>
  </si>
  <si>
    <t>HUB-15</t>
  </si>
  <si>
    <t>INSURGENTES</t>
  </si>
  <si>
    <t>HUB-16</t>
  </si>
  <si>
    <t>POLANCO</t>
  </si>
  <si>
    <t>HUB-17</t>
  </si>
  <si>
    <t>MAGDALENA</t>
  </si>
  <si>
    <t>HUB-18</t>
  </si>
  <si>
    <t>OLIVAR DEL CONDE</t>
  </si>
  <si>
    <t>HUB-19</t>
  </si>
  <si>
    <t>AZCAPOTZALCO</t>
  </si>
  <si>
    <t>HUB-20</t>
  </si>
  <si>
    <t>SAN AGUSTIN</t>
  </si>
  <si>
    <t>HUB-21</t>
  </si>
  <si>
    <t>SANTA FE 1</t>
  </si>
  <si>
    <t>HUB-22</t>
  </si>
  <si>
    <t>SANTA FE 2</t>
  </si>
  <si>
    <t>HUB-23</t>
  </si>
  <si>
    <t>STA MA LA RIBERA</t>
  </si>
  <si>
    <t>HUB-24</t>
  </si>
  <si>
    <t>AMECAMECA</t>
  </si>
  <si>
    <t>HUB-25</t>
  </si>
  <si>
    <t>PUERTO PRINCIPE</t>
  </si>
  <si>
    <t>HUB-26</t>
  </si>
  <si>
    <t>BALBUENA</t>
  </si>
  <si>
    <t>HUB-27</t>
  </si>
  <si>
    <t>BONDOJITO</t>
  </si>
  <si>
    <t>HUB-28</t>
  </si>
  <si>
    <t>AEROPUERTO</t>
  </si>
  <si>
    <t>HUB-29</t>
  </si>
  <si>
    <t>IZTACALCO</t>
  </si>
  <si>
    <t>HUB-30</t>
  </si>
  <si>
    <t>ATIZAPAN</t>
  </si>
  <si>
    <t>HUB-31</t>
  </si>
  <si>
    <t>SATELITE</t>
  </si>
  <si>
    <t>HUB-32</t>
  </si>
  <si>
    <t>GUSTAVO BAZ</t>
  </si>
  <si>
    <t>HUB-33</t>
  </si>
  <si>
    <t>INDUSTRIAL</t>
  </si>
  <si>
    <t>HUB-34</t>
  </si>
  <si>
    <t>TICOMAN</t>
  </si>
  <si>
    <t>HUB-35</t>
  </si>
  <si>
    <t>RECLUSORIO</t>
  </si>
  <si>
    <t>HUB-36</t>
  </si>
  <si>
    <t>TENAYUCA</t>
  </si>
  <si>
    <t>HUB-37</t>
  </si>
  <si>
    <t>BARRIENTOS</t>
  </si>
  <si>
    <t>HUB-38</t>
  </si>
  <si>
    <t>TULTITLAN</t>
  </si>
  <si>
    <t>HUB-39</t>
  </si>
  <si>
    <t>CLAUSTROS // CUATITLAN IZCALLI</t>
  </si>
  <si>
    <t>HUB-40</t>
  </si>
  <si>
    <t>TULTEPEC</t>
  </si>
  <si>
    <t>HUB-41</t>
  </si>
  <si>
    <t>TEYAHUALCO</t>
  </si>
  <si>
    <t>HUB-42</t>
  </si>
  <si>
    <t>PCTV //  COYOACAN</t>
  </si>
  <si>
    <t>HUB-43</t>
  </si>
  <si>
    <t>CIUDAD AZTECA</t>
  </si>
  <si>
    <t>HUB-44</t>
  </si>
  <si>
    <t>LAS AMERICAS</t>
  </si>
  <si>
    <t>HUB-45</t>
  </si>
  <si>
    <t>CHAMIZAL</t>
  </si>
  <si>
    <t>HUB-46</t>
  </si>
  <si>
    <t>CARACOLES</t>
  </si>
  <si>
    <t>HUB-47</t>
  </si>
  <si>
    <t>GRANJAS</t>
  </si>
  <si>
    <t>HUB-48</t>
  </si>
  <si>
    <t>ALAMEDAS</t>
  </si>
  <si>
    <t>HUB-49</t>
  </si>
  <si>
    <t>BOSQUES</t>
  </si>
  <si>
    <t>HUB-50</t>
  </si>
  <si>
    <t>MARAVILLAS</t>
  </si>
  <si>
    <t>HUB-51</t>
  </si>
  <si>
    <t>XOCHIACA</t>
  </si>
  <si>
    <t>HUB-52</t>
  </si>
  <si>
    <t>LAS FUENTES</t>
  </si>
  <si>
    <t>HUB-53</t>
  </si>
  <si>
    <t>LA PERLA</t>
  </si>
  <si>
    <t>HUB-54</t>
  </si>
  <si>
    <t>LA PAZ</t>
  </si>
  <si>
    <t>HUB-55</t>
  </si>
  <si>
    <t>SAN LORENZO</t>
  </si>
  <si>
    <t>HUB-56</t>
  </si>
  <si>
    <t>OBREROS</t>
  </si>
  <si>
    <t>HUB-57</t>
  </si>
  <si>
    <t>CHIMALHUACAN</t>
  </si>
  <si>
    <t>HUB-58</t>
  </si>
  <si>
    <t>VALLE DE CHALCO</t>
  </si>
  <si>
    <t>HUB-59</t>
  </si>
  <si>
    <t>BENITO JUAREZ</t>
  </si>
  <si>
    <t>HUB-60</t>
  </si>
  <si>
    <t>XICO</t>
  </si>
  <si>
    <t xml:space="preserve">NO. DE ALMACEN </t>
  </si>
  <si>
    <t xml:space="preserve">NOMBRE DEL ALMACEN </t>
  </si>
  <si>
    <t>NO. DE SUCURSAL</t>
  </si>
  <si>
    <t>NOMBRE DE LA SUCURSAL</t>
  </si>
  <si>
    <t>VALLEJO</t>
  </si>
  <si>
    <t>TLALNEPANTLA</t>
  </si>
  <si>
    <t>GUSTAVO A MADERO</t>
  </si>
  <si>
    <t>MIGUEL HIDALGO</t>
  </si>
  <si>
    <t>CUAUTITLAN IZCALLI</t>
  </si>
  <si>
    <t>VENUSTIANO CARRANZA</t>
  </si>
  <si>
    <t>COYOACAN</t>
  </si>
  <si>
    <t>HUEHUETOCA</t>
  </si>
  <si>
    <t>HUEYPOXTLA</t>
  </si>
  <si>
    <t>TEQUIXQUIAC</t>
  </si>
  <si>
    <t>COYOTEPEC</t>
  </si>
  <si>
    <t>NEXTLALPAN</t>
  </si>
  <si>
    <t>TEPOJACO</t>
  </si>
  <si>
    <t>CUAUTITLAN</t>
  </si>
  <si>
    <t>COACALCO</t>
  </si>
  <si>
    <t>NEZAHUALCOYOTL</t>
  </si>
  <si>
    <t>Sucursal</t>
  </si>
  <si>
    <t>Suscriptor</t>
  </si>
  <si>
    <t>Coordenadas</t>
  </si>
  <si>
    <t>Dirección</t>
  </si>
  <si>
    <t>EQUIPO</t>
  </si>
  <si>
    <t>NUMERO DE SERIE</t>
  </si>
  <si>
    <t>FECHA PROPUESTA</t>
  </si>
  <si>
    <t>OT-381796</t>
  </si>
  <si>
    <t>19.478806, -99.235833</t>
  </si>
  <si>
    <t>Avendia Benito Juárez 39 El Mirador NAU, Naucalpan de Juárez, Estado de México</t>
  </si>
  <si>
    <t>OT-381906</t>
  </si>
  <si>
    <t>19.478833, -99.233639</t>
  </si>
  <si>
    <r>
      <rPr>
        <b/>
        <sz val="11"/>
        <color rgb="FF000000"/>
        <rFont val="Aptos Narrow"/>
      </rPr>
      <t>TEATRO BICENTENARIO</t>
    </r>
    <r>
      <rPr>
        <sz val="11"/>
        <color rgb="FF000000"/>
        <rFont val="Aptos Narrow"/>
      </rPr>
      <t xml:space="preserve"> // Edificio anexo al, Palacio Municipal, Av. Benito Juárez 39-Edificio B 3er piso, El Mirador, 53050 Naucalpan de Juárez, Méx.</t>
    </r>
  </si>
  <si>
    <t xml:space="preserve">HUAWEI S5735 </t>
  </si>
  <si>
    <t xml:space="preserve">4E2160094137 </t>
  </si>
  <si>
    <t>OT-382184</t>
  </si>
  <si>
    <t>19.445250, -99.249139</t>
  </si>
  <si>
    <r>
      <rPr>
        <b/>
        <sz val="11"/>
        <color rgb="FF000000"/>
        <rFont val="Aptos Narrow"/>
      </rPr>
      <t>BOMBEROS</t>
    </r>
    <r>
      <rPr>
        <sz val="11"/>
        <color rgb="FF000000"/>
        <rFont val="Aptos Narrow"/>
      </rPr>
      <t xml:space="preserve"> // Av. de las Granjas 20, El Chamizal, 53780 Naucalpan de Juárez, Méx.</t>
    </r>
  </si>
  <si>
    <t>HUAWEI S5735</t>
  </si>
  <si>
    <t xml:space="preserve">4E2160094142 </t>
  </si>
  <si>
    <t>OT-382187</t>
  </si>
  <si>
    <t>19.510229, -99.228497</t>
  </si>
  <si>
    <r>
      <rPr>
        <b/>
        <sz val="11"/>
        <color rgb="FF000000"/>
        <rFont val="Aptos Narrow"/>
      </rPr>
      <t>REGISTRO CIVIL SATELITE</t>
    </r>
    <r>
      <rPr>
        <sz val="11"/>
        <color rgb="FF000000"/>
        <rFont val="Aptos Narrow"/>
      </rPr>
      <t xml:space="preserve"> // Centro Cívico, Cto. Medicos 77, Cd. Satélite, 53100 Naucalpan de Juárez, Méx.</t>
    </r>
  </si>
  <si>
    <t>ISCOM 2608G</t>
  </si>
  <si>
    <t>101625001010S21813S0261G</t>
  </si>
  <si>
    <t>OT-382188</t>
  </si>
  <si>
    <t>19.426722, -99.227583</t>
  </si>
  <si>
    <r>
      <rPr>
        <b/>
        <sz val="11"/>
        <color rgb="FF000000"/>
        <rFont val="Aptos Narrow"/>
      </rPr>
      <t>RECEPTORIA TECAMACHALCO</t>
    </r>
    <r>
      <rPr>
        <sz val="11"/>
        <color rgb="FF000000"/>
        <rFont val="Aptos Narrow"/>
      </rPr>
      <t xml:space="preserve"> // Fuente de Nezahualcóyotl 1, San Miguel Tecamachalco, Lomas de Tecamachalco, 53950 Naucalpan de Juárez, Méx.</t>
    </r>
  </si>
  <si>
    <t>ISCOM2608G</t>
  </si>
  <si>
    <t>101625001010S21A14S0142G</t>
  </si>
  <si>
    <t>OT-382189</t>
  </si>
  <si>
    <t>19.432973, -99.259760</t>
  </si>
  <si>
    <r>
      <rPr>
        <b/>
        <sz val="11"/>
        <color rgb="FF000000"/>
        <rFont val="Aptos Narrow"/>
      </rPr>
      <t>PANTEON MUNICIPAL</t>
    </r>
    <r>
      <rPr>
        <sz val="11"/>
        <color rgb="FF000000"/>
        <rFont val="Aptos Narrow"/>
      </rPr>
      <t xml:space="preserve"> // Av. Huixquilucan 9, Buenavista, Naucalpan de Juárez, Méx.</t>
    </r>
  </si>
  <si>
    <t>ISCOM2608</t>
  </si>
  <si>
    <t>101625001010S21813S0203G</t>
  </si>
  <si>
    <t>OT-382190</t>
  </si>
  <si>
    <t>19.469611, -99.237361</t>
  </si>
  <si>
    <r>
      <rPr>
        <b/>
        <sz val="11"/>
        <color rgb="FF000000"/>
        <rFont val="Aptos Narrow"/>
      </rPr>
      <t>DELEGACION CENTRAL DE SERVICIOS</t>
    </r>
    <r>
      <rPr>
        <sz val="11"/>
        <color rgb="FF000000"/>
        <rFont val="Aptos Narrow"/>
      </rPr>
      <t xml:space="preserve"> // Av. Estacas 33, Naucalpan Centro, 53000 Naucalpan de Juárez, Méx.</t>
    </r>
  </si>
  <si>
    <t>4E2170047879</t>
  </si>
  <si>
    <t>OT-382191</t>
  </si>
  <si>
    <t>19.459944, -99.238361</t>
  </si>
  <si>
    <r>
      <rPr>
        <b/>
        <sz val="11"/>
        <color rgb="FF000000"/>
        <rFont val="Aptos Narrow"/>
      </rPr>
      <t>SITIO 37</t>
    </r>
    <r>
      <rPr>
        <sz val="11"/>
        <color rgb="FF000000"/>
        <rFont val="Aptos Narrow"/>
      </rPr>
      <t xml:space="preserve"> // Cto. Margaritas Oeste 1, Jardines del Molinito, 53530 Naucalpan de Juárez, Méx.</t>
    </r>
  </si>
  <si>
    <t>4E2170047628</t>
  </si>
  <si>
    <t>OT-382192</t>
  </si>
  <si>
    <t>19.479917, -99.236500</t>
  </si>
  <si>
    <r>
      <rPr>
        <b/>
        <sz val="11"/>
        <color rgb="FF000000"/>
        <rFont val="Aptos Narrow"/>
      </rPr>
      <t>SUBDIRECCION DE SERVICIOS GENERALES</t>
    </r>
    <r>
      <rPr>
        <sz val="11"/>
        <color rgb="FF000000"/>
        <rFont val="Aptos Narrow"/>
      </rPr>
      <t xml:space="preserve">  // Valle de Bravo 23, El Mirador, 53050 Naucalpan de Juárez, Méx.</t>
    </r>
  </si>
  <si>
    <t>4E2170048605</t>
  </si>
  <si>
    <t>OT-382193</t>
  </si>
  <si>
    <t>19.488814, -99.244074</t>
  </si>
  <si>
    <r>
      <rPr>
        <b/>
        <sz val="11"/>
        <color rgb="FF000000"/>
        <rFont val="Aptos Narrow"/>
      </rPr>
      <t xml:space="preserve">SUBDIRECCION DE TRANSITO </t>
    </r>
    <r>
      <rPr>
        <sz val="11"/>
        <color rgb="FF000000"/>
        <rFont val="Aptos Narrow"/>
      </rPr>
      <t>// Cam. a San Mateo Nopala Manzana 019, Sta Cruz Acatlan, 53150 Naucalpan de Juárez, Méx.</t>
    </r>
  </si>
  <si>
    <t>ISCOM2600G</t>
  </si>
  <si>
    <t>101625001010S21813S0307G</t>
  </si>
  <si>
    <t>OT-382194</t>
  </si>
  <si>
    <t>19.495639, -99.239806</t>
  </si>
  <si>
    <r>
      <rPr>
        <b/>
        <sz val="11"/>
        <color rgb="FF00B050"/>
        <rFont val="Aptos Narrow"/>
      </rPr>
      <t>OFICINAS DE ADMIN 1</t>
    </r>
    <r>
      <rPr>
        <sz val="11"/>
        <color rgb="FF00B050"/>
        <rFont val="Aptos Narrow"/>
      </rPr>
      <t xml:space="preserve"> // PARQUE NAUCALLI </t>
    </r>
  </si>
  <si>
    <t>101625001010S21A14S0227G</t>
  </si>
  <si>
    <t>OT-382195</t>
  </si>
  <si>
    <r>
      <rPr>
        <b/>
        <sz val="11"/>
        <color rgb="FF000000"/>
        <rFont val="Aptos Narrow"/>
      </rPr>
      <t xml:space="preserve">SUB. SERVICIOS GENERALES </t>
    </r>
    <r>
      <rPr>
        <sz val="11"/>
        <color rgb="FF000000"/>
        <rFont val="Aptos Narrow"/>
      </rPr>
      <t>// Valle de Bravo 25, El Mirador, 53050 Naucalpan de Juárez, Méx.</t>
    </r>
  </si>
  <si>
    <t>4E2170048755</t>
  </si>
  <si>
    <t>OT-382196</t>
  </si>
  <si>
    <t>19.491798, -99.242129</t>
  </si>
  <si>
    <r>
      <t>CEFF 2 //</t>
    </r>
    <r>
      <rPr>
        <sz val="11"/>
        <color rgb="FF00B050"/>
        <rFont val="Aptos Narrow"/>
      </rPr>
      <t xml:space="preserve"> PARQUE NAUCALLI </t>
    </r>
  </si>
  <si>
    <t>4E2160094242</t>
  </si>
  <si>
    <t>OT-382197</t>
  </si>
  <si>
    <t>19.493611, -99.243083</t>
  </si>
  <si>
    <r>
      <t xml:space="preserve">OFIC. DE ADMIN 2 // </t>
    </r>
    <r>
      <rPr>
        <sz val="11"/>
        <color rgb="FF00B050"/>
        <rFont val="Aptos Narrow"/>
      </rPr>
      <t>PARQUE NAUCALLI</t>
    </r>
  </si>
  <si>
    <t>4E2170048398</t>
  </si>
  <si>
    <t>OT-382200</t>
  </si>
  <si>
    <t>19.479892, -99.236475</t>
  </si>
  <si>
    <r>
      <rPr>
        <b/>
        <sz val="11"/>
        <color rgb="FF000000"/>
        <rFont val="Aptos Narrow"/>
      </rPr>
      <t xml:space="preserve">SUB de SERVICIOS GENERALES  </t>
    </r>
    <r>
      <rPr>
        <sz val="11"/>
        <color rgb="FF000000"/>
        <rFont val="Aptos Narrow"/>
      </rPr>
      <t>// Valle de Bravo 23, El Mirador, 53050 Naucalpan de Juárez, Méx.</t>
    </r>
  </si>
  <si>
    <t>4E2170048396</t>
  </si>
  <si>
    <t>OT-382201</t>
  </si>
  <si>
    <t>19.478862, -99.233689</t>
  </si>
  <si>
    <t>Av. Benito Juárez 39, Naucalpan Centro, 53000 Naucalpan de Juárez, Méx.</t>
  </si>
  <si>
    <t>OT-382203</t>
  </si>
  <si>
    <t>19.476124, -99.246953</t>
  </si>
  <si>
    <r>
      <rPr>
        <b/>
        <sz val="11"/>
        <color rgb="FF000000"/>
        <rFont val="Aptos Narrow"/>
      </rPr>
      <t xml:space="preserve">SITIO 19 </t>
    </r>
    <r>
      <rPr>
        <sz val="11"/>
        <color rgb="FF000000"/>
        <rFont val="Aptos Narrow"/>
      </rPr>
      <t xml:space="preserve"> // Av. Morelos No. 61, Col, Bosque de los Remedios, Naucalpan de Juárez, Méx.</t>
    </r>
  </si>
  <si>
    <t>4E2170048686</t>
  </si>
  <si>
    <t>OT-382205</t>
  </si>
  <si>
    <t>19.475389, -99.247722</t>
  </si>
  <si>
    <r>
      <rPr>
        <b/>
        <sz val="11"/>
        <color rgb="FF000000"/>
        <rFont val="Aptos Narrow"/>
      </rPr>
      <t xml:space="preserve">SERV PUBLICOS PARQUE JARDINES </t>
    </r>
    <r>
      <rPr>
        <sz val="11"/>
        <color rgb="FF000000"/>
        <rFont val="Aptos Narrow"/>
      </rPr>
      <t>// Calz. de los Remedios 45, Bosque de los Remedios, 53030 Naucalpan de Juárez, Méx.</t>
    </r>
  </si>
  <si>
    <t>4E2170048589</t>
  </si>
  <si>
    <t>OT-382207</t>
  </si>
  <si>
    <t>19.430994, -99.226626</t>
  </si>
  <si>
    <r>
      <rPr>
        <b/>
        <sz val="11"/>
        <color rgb="FF000000"/>
        <rFont val="Aptos Narrow"/>
      </rPr>
      <t>BOMBEROS TECAMACHALCO</t>
    </r>
    <r>
      <rPr>
        <sz val="11"/>
        <color rgb="FF000000"/>
        <rFont val="Aptos Narrow"/>
      </rPr>
      <t xml:space="preserve"> // Fuente de Tritones, Lomas de Tecamachalco, 53950 Naucalpan de Juárez, Méx. </t>
    </r>
  </si>
  <si>
    <t>4E2170048567</t>
  </si>
  <si>
    <t>OT-382208</t>
  </si>
  <si>
    <t>19.473250, -99.243806</t>
  </si>
  <si>
    <r>
      <rPr>
        <b/>
        <sz val="11"/>
        <color rgb="FF000000"/>
        <rFont val="Aptos Narrow"/>
      </rPr>
      <t>PROTECCION CIVIL //</t>
    </r>
    <r>
      <rPr>
        <sz val="11"/>
        <color rgb="FF000000"/>
        <rFont val="Aptos Narrow"/>
      </rPr>
      <t xml:space="preserve"> Av. de los Arcos No. 30, Col, Av. de los Arcos 30, Padre Figueroa, 53410 Naucalpan de Juárez, Méx.</t>
    </r>
  </si>
  <si>
    <t>101625001010S21A14S0101G</t>
  </si>
  <si>
    <t>OT-382209</t>
  </si>
  <si>
    <r>
      <rPr>
        <b/>
        <sz val="11"/>
        <color rgb="FF000000"/>
        <rFont val="Aptos Narrow"/>
      </rPr>
      <t>GOBIERNO DIGITAL</t>
    </r>
    <r>
      <rPr>
        <sz val="11"/>
        <color rgb="FF000000"/>
        <rFont val="Aptos Narrow"/>
      </rPr>
      <t xml:space="preserve"> // Av. Benito Juárez 39 PISO 3, El Mirador, 53050 Naucalpan de Juárez, Méx.</t>
    </r>
  </si>
  <si>
    <t>4E2160094141</t>
  </si>
  <si>
    <t>OT-382210</t>
  </si>
  <si>
    <t>19.506867, -99.220750</t>
  </si>
  <si>
    <r>
      <rPr>
        <b/>
        <sz val="11"/>
        <color rgb="FF000000"/>
        <rFont val="Aptos Narrow"/>
      </rPr>
      <t>REGISTRO CIVIL 01</t>
    </r>
    <r>
      <rPr>
        <sz val="11"/>
        <color rgb="FF000000"/>
        <rFont val="Aptos Narrow"/>
      </rPr>
      <t xml:space="preserve"> // Av. Dr. Gustavo Baz S/N, Cd. Satélite, 53100 Naucalpan de Juárez, Méx. BOMBEROS</t>
    </r>
  </si>
  <si>
    <t>4E2170048439</t>
  </si>
  <si>
    <t>OT-382211</t>
  </si>
  <si>
    <t>19.489889, -99.238528</t>
  </si>
  <si>
    <r>
      <rPr>
        <b/>
        <sz val="11"/>
        <color rgb="FF000000"/>
        <rFont val="Aptos Narrow"/>
      </rPr>
      <t>SITIO 31</t>
    </r>
    <r>
      <rPr>
        <sz val="11"/>
        <color rgb="FF000000"/>
        <rFont val="Aptos Narrow"/>
      </rPr>
      <t xml:space="preserve"> // Baden Powell 4, Boulevares, 53140 Naucalpan de Juárez, Méx.</t>
    </r>
  </si>
  <si>
    <t>4E2160094251</t>
  </si>
  <si>
    <t>OT-382213</t>
  </si>
  <si>
    <t>19.474323, -99.232142</t>
  </si>
  <si>
    <r>
      <rPr>
        <b/>
        <sz val="11"/>
        <color rgb="FF000000"/>
        <rFont val="Aptos Narrow"/>
      </rPr>
      <t>DIF 12 NAUCALPAN</t>
    </r>
    <r>
      <rPr>
        <sz val="11"/>
        <color rgb="FF000000"/>
        <rFont val="Aptos Narrow"/>
      </rPr>
      <t xml:space="preserve"> // 5 de Mayo exterior 12, Naucalpan Centro, 53000 Naucalpan de Juárez, Méx. </t>
    </r>
  </si>
  <si>
    <t>101625001010S21813S0229G</t>
  </si>
  <si>
    <t>OT-382214</t>
  </si>
  <si>
    <t>19.469803, -99.237438</t>
  </si>
  <si>
    <r>
      <rPr>
        <b/>
        <sz val="11"/>
        <color rgb="FF000000"/>
        <rFont val="Aptos Narrow"/>
      </rPr>
      <t>DELEGACION SAN AGUSTIN</t>
    </r>
    <r>
      <rPr>
        <sz val="11"/>
        <color rgb="FF000000"/>
        <rFont val="Aptos Narrow"/>
      </rPr>
      <t xml:space="preserve"> // Av. Estacas 33, Naucalpan Centro, 53000 Naucalpan de Juárez, Méx.</t>
    </r>
  </si>
  <si>
    <t>101625001010S21813S0286G</t>
  </si>
  <si>
    <t>OT-382215</t>
  </si>
  <si>
    <t>Av. Benito Juárez 39 PISO 1, El Mirador, 53050 Naucalpan de Juárez, Méx. AUDITORIO ISIDRO FABELA</t>
  </si>
  <si>
    <t>4E2160094159</t>
  </si>
  <si>
    <t>OT-382216</t>
  </si>
  <si>
    <t>19.476111, -99.246917</t>
  </si>
  <si>
    <r>
      <rPr>
        <b/>
        <sz val="11"/>
        <color rgb="FF000000"/>
        <rFont val="Aptos Narrow"/>
      </rPr>
      <t>AUDITORIO ISIDRO FABELA</t>
    </r>
    <r>
      <rPr>
        <sz val="11"/>
        <color rgb="FF000000"/>
        <rFont val="Aptos Narrow"/>
      </rPr>
      <t xml:space="preserve"> // Av. Morelos No. 61, Col, Bosque de los Remedios, Naucalpan de Juárez, Méx.</t>
    </r>
  </si>
  <si>
    <t>4E2170048338</t>
  </si>
  <si>
    <t>OT-382217</t>
  </si>
  <si>
    <t>19.492806, -99.238417</t>
  </si>
  <si>
    <r>
      <t>AUDITORIO FRANCISCO VILLANUEVA //</t>
    </r>
    <r>
      <rPr>
        <sz val="11"/>
        <color rgb="FF00B050"/>
        <rFont val="Aptos Narrow"/>
      </rPr>
      <t xml:space="preserve"> PARQUE NAUCALLI </t>
    </r>
  </si>
  <si>
    <t>4E2160094209</t>
  </si>
  <si>
    <t>OT-382219</t>
  </si>
  <si>
    <r>
      <rPr>
        <b/>
        <sz val="11"/>
        <color rgb="FF000000"/>
        <rFont val="Aptos Narrow"/>
      </rPr>
      <t>SITIO 22</t>
    </r>
    <r>
      <rPr>
        <sz val="11"/>
        <color rgb="FF000000"/>
        <rFont val="Aptos Narrow"/>
      </rPr>
      <t xml:space="preserve"> // Av. Morelos No. 61, Col, Bosque de los Remedios, Naucalpan de Juárez, Méx.</t>
    </r>
  </si>
  <si>
    <t>4E2170048248</t>
  </si>
  <si>
    <t>OT-382220</t>
  </si>
  <si>
    <r>
      <rPr>
        <b/>
        <sz val="11"/>
        <color rgb="FF000000"/>
        <rFont val="Aptos Narrow"/>
      </rPr>
      <t xml:space="preserve">SITIO 23 </t>
    </r>
    <r>
      <rPr>
        <sz val="11"/>
        <color rgb="FF000000"/>
        <rFont val="Aptos Narrow"/>
      </rPr>
      <t>// Av. Morelos No. 61, Col, Bosque de los Remedios, Naucalpan de Juárez, Méx.</t>
    </r>
  </si>
  <si>
    <t>4E2170048692</t>
  </si>
  <si>
    <t>OT-382221</t>
  </si>
  <si>
    <t>19.501556, -99.229917</t>
  </si>
  <si>
    <r>
      <rPr>
        <b/>
        <sz val="11"/>
        <color rgb="FF000000"/>
        <rFont val="Aptos Narrow"/>
      </rPr>
      <t>BOMBEROS SATELITE</t>
    </r>
    <r>
      <rPr>
        <sz val="11"/>
        <color rgb="FF000000"/>
        <rFont val="Aptos Narrow"/>
      </rPr>
      <t xml:space="preserve"> // Cto. Navegantes 75, Cd. Satélite, 53100 Naucalpan de Juárez, Méx.</t>
    </r>
  </si>
  <si>
    <t>101625001010S21A14S0125G</t>
  </si>
  <si>
    <t>OT-382222</t>
  </si>
  <si>
    <t>19.495111, -99.227444</t>
  </si>
  <si>
    <r>
      <rPr>
        <b/>
        <sz val="11"/>
        <color rgb="FF000000"/>
        <rFont val="Aptos Narrow"/>
      </rPr>
      <t>SERVICIOS PUBLICOS</t>
    </r>
    <r>
      <rPr>
        <sz val="11"/>
        <color rgb="FF000000"/>
        <rFont val="Aptos Narrow"/>
      </rPr>
      <t xml:space="preserve"> // Hda. de Zotoluca 355, Hacienda de Echegaray, 53300 Naucalpan de Juárez, Méx.</t>
    </r>
  </si>
  <si>
    <t>4E2160094205</t>
  </si>
  <si>
    <t>OT-382223</t>
  </si>
  <si>
    <r>
      <rPr>
        <b/>
        <sz val="11"/>
        <color rgb="FF000000"/>
        <rFont val="Aptos Narrow"/>
      </rPr>
      <t>SITIO 32</t>
    </r>
    <r>
      <rPr>
        <sz val="11"/>
        <color rgb="FF000000"/>
        <rFont val="Aptos Narrow"/>
      </rPr>
      <t xml:space="preserve"> // Baden Powell 4, Boulevares, 53140 Naucalpan de Juárez, Méx.</t>
    </r>
  </si>
  <si>
    <t>4E2160094212</t>
  </si>
  <si>
    <t>OT-382224</t>
  </si>
  <si>
    <t>19.477111, -99.233722</t>
  </si>
  <si>
    <r>
      <rPr>
        <b/>
        <sz val="11"/>
        <color rgb="FF000000"/>
        <rFont val="Aptos Narrow"/>
      </rPr>
      <t>REGISTRO CIVIL 01</t>
    </r>
    <r>
      <rPr>
        <sz val="11"/>
        <color rgb="FF000000"/>
        <rFont val="Aptos Narrow"/>
      </rPr>
      <t xml:space="preserve"> // Av. Benito Juárez 39, El Mirador, 53050 Naucalpan de Juárez, Méx. </t>
    </r>
  </si>
  <si>
    <t>4E2170048644</t>
  </si>
  <si>
    <t>OT-382225</t>
  </si>
  <si>
    <t>19.492250, -99.258889</t>
  </si>
  <si>
    <r>
      <rPr>
        <b/>
        <sz val="11"/>
        <color rgb="FF000000"/>
        <rFont val="Aptos Narrow"/>
      </rPr>
      <t>PALACIO MUNICIPAL</t>
    </r>
    <r>
      <rPr>
        <sz val="11"/>
        <color rgb="FF000000"/>
        <rFont val="Aptos Narrow"/>
      </rPr>
      <t xml:space="preserve"> // Ceibas 31a, Jardines de San Mateo, 53240 Naucalpan de Juárez, Méx.</t>
    </r>
  </si>
  <si>
    <t>101625001010S21A14S0037G</t>
  </si>
  <si>
    <t>OT-382226</t>
  </si>
  <si>
    <t>19.473278, -99.243750</t>
  </si>
  <si>
    <r>
      <rPr>
        <b/>
        <sz val="11"/>
        <color rgb="FF000000"/>
        <rFont val="Aptos Narrow"/>
      </rPr>
      <t xml:space="preserve">BOMBEROS </t>
    </r>
    <r>
      <rPr>
        <sz val="11"/>
        <color rgb="FF000000"/>
        <rFont val="Aptos Narrow"/>
      </rPr>
      <t>// Av. de los Arcos No. 30, Col, Av. de los Arcos 30, Padre Figueroa, 53410 Naucalpan de Juárez, Méx.</t>
    </r>
  </si>
  <si>
    <t>101625001010S21A14S0110G</t>
  </si>
  <si>
    <t>OT-382227</t>
  </si>
  <si>
    <r>
      <rPr>
        <b/>
        <sz val="11"/>
        <color rgb="FF000000"/>
        <rFont val="Aptos Narrow"/>
      </rPr>
      <t>PREHOSPITALARIOS Y AMBULANCIAS</t>
    </r>
    <r>
      <rPr>
        <sz val="11"/>
        <color rgb="FF000000"/>
        <rFont val="Aptos Narrow"/>
      </rPr>
      <t xml:space="preserve"> // Av. de los Arcos No. 30, Col, Av. de los Arcos 30, Padre Figueroa, 53410 Naucalpan de Juárez, Méx.</t>
    </r>
  </si>
  <si>
    <t>101625001010S21A14S0187G</t>
  </si>
  <si>
    <t>OT-382228</t>
  </si>
  <si>
    <r>
      <rPr>
        <b/>
        <sz val="11"/>
        <color rgb="FF000000"/>
        <rFont val="Aptos Narrow"/>
      </rPr>
      <t>SITIO 30</t>
    </r>
    <r>
      <rPr>
        <sz val="11"/>
        <color rgb="FF000000"/>
        <rFont val="Aptos Narrow"/>
      </rPr>
      <t xml:space="preserve"> //  Baden Powell 4, Boulevares, 53140 Naucalpan de Juárez, Méx.</t>
    </r>
  </si>
  <si>
    <t>4E2170048051</t>
  </si>
  <si>
    <t>OT-382229</t>
  </si>
  <si>
    <r>
      <rPr>
        <b/>
        <sz val="11"/>
        <color rgb="FF000000"/>
        <rFont val="Aptos Narrow"/>
      </rPr>
      <t>TEATRO BENITO JUAREZ</t>
    </r>
    <r>
      <rPr>
        <sz val="11"/>
        <color rgb="FF000000"/>
        <rFont val="Aptos Narrow"/>
      </rPr>
      <t xml:space="preserve"> // Av. Benito Juárez 39 PISO 3, Naucalpan Centro, 53000 Naucalpan de Juárez, Méx.</t>
    </r>
  </si>
  <si>
    <t>4E2160094138</t>
  </si>
  <si>
    <t>OT-382231</t>
  </si>
  <si>
    <t>19.498139, -99.242056</t>
  </si>
  <si>
    <r>
      <rPr>
        <b/>
        <sz val="11"/>
        <color rgb="FF000000"/>
        <rFont val="Aptos Narrow"/>
      </rPr>
      <t>IMCUFIDEN</t>
    </r>
    <r>
      <rPr>
        <sz val="11"/>
        <color rgb="FF000000"/>
        <rFont val="Aptos Narrow"/>
      </rPr>
      <t xml:space="preserve"> // Blvd. San Mateo, Colina de La Gacela &amp;, Boulevares, 53140 Naucalpan de Juárez, Méx.</t>
    </r>
  </si>
  <si>
    <t>4E2170048607</t>
  </si>
  <si>
    <t>OT-382233</t>
  </si>
  <si>
    <t>19.513667, -99.229194</t>
  </si>
  <si>
    <r>
      <rPr>
        <b/>
        <sz val="11"/>
        <color rgb="FF000000"/>
        <rFont val="Aptos Narrow"/>
      </rPr>
      <t>CENTRO CIVICO 51</t>
    </r>
    <r>
      <rPr>
        <sz val="11"/>
        <color rgb="FF000000"/>
        <rFont val="Aptos Narrow"/>
      </rPr>
      <t xml:space="preserve"> // Cto. Centro Cívico 51, Cd. Satélite, 53100 Naucalpan de Juárez, Méx.</t>
    </r>
  </si>
  <si>
    <t>101625001010S21A14S0108G</t>
  </si>
  <si>
    <t>OT-382235</t>
  </si>
  <si>
    <t>19.477278, -99.269000</t>
  </si>
  <si>
    <r>
      <rPr>
        <b/>
        <sz val="11"/>
        <color rgb="FF000000"/>
        <rFont val="Aptos Narrow"/>
      </rPr>
      <t>RECEPTORIA SAN MATEO</t>
    </r>
    <r>
      <rPr>
        <sz val="11"/>
        <color rgb="FF000000"/>
        <rFont val="Aptos Narrow"/>
      </rPr>
      <t xml:space="preserve"> // Circunvalación Poniente 189, Cd Brisa, 53296 Naucalpan de Juárez, Méx.</t>
    </r>
  </si>
  <si>
    <t>101625001010S21813S0437G</t>
  </si>
  <si>
    <t>OT-382236</t>
  </si>
  <si>
    <t>19.427417, -99.229306</t>
  </si>
  <si>
    <r>
      <rPr>
        <b/>
        <sz val="11"/>
        <color rgb="FF000000"/>
        <rFont val="Aptos Narrow"/>
      </rPr>
      <t>SERVICIOS PUBLICOS TECAMACHALCO</t>
    </r>
    <r>
      <rPr>
        <sz val="11"/>
        <color rgb="FF000000"/>
        <rFont val="Aptos Narrow"/>
      </rPr>
      <t xml:space="preserve"> // Fuente de La Juventud 12, Lomas de Tecamachalco, 14478 Naucalpan de Juárez, Méx.</t>
    </r>
  </si>
  <si>
    <t>101625001010S21A14S0352G</t>
  </si>
  <si>
    <t>OT-382237</t>
  </si>
  <si>
    <t>19.494139, -99.238444</t>
  </si>
  <si>
    <r>
      <rPr>
        <b/>
        <sz val="11"/>
        <color rgb="FF00B050"/>
        <rFont val="Aptos Narrow"/>
      </rPr>
      <t>AUDITORIO F VILLANUEVA 2</t>
    </r>
    <r>
      <rPr>
        <sz val="11"/>
        <color rgb="FF00B050"/>
        <rFont val="Aptos Narrow"/>
      </rPr>
      <t xml:space="preserve"> // PARQUE NAUCALLI</t>
    </r>
  </si>
  <si>
    <t>4E2170048450</t>
  </si>
  <si>
    <t>OT-382238</t>
  </si>
  <si>
    <t>19.495528, -99.239750</t>
  </si>
  <si>
    <r>
      <rPr>
        <b/>
        <sz val="11"/>
        <color rgb="FF00B050"/>
        <rFont val="Aptos Narrow"/>
      </rPr>
      <t>CFEE</t>
    </r>
    <r>
      <rPr>
        <sz val="11"/>
        <color rgb="FF00B050"/>
        <rFont val="Aptos Narrow"/>
      </rPr>
      <t xml:space="preserve"> // PARQUE NAUCALLI</t>
    </r>
  </si>
  <si>
    <t>4E2160094258</t>
  </si>
  <si>
    <t>OT-382240</t>
  </si>
  <si>
    <t>19.493194, -99.237944</t>
  </si>
  <si>
    <r>
      <rPr>
        <b/>
        <sz val="11"/>
        <color rgb="FF00B050"/>
        <rFont val="Aptos Narrow"/>
      </rPr>
      <t>TAQUILLA</t>
    </r>
    <r>
      <rPr>
        <sz val="11"/>
        <color rgb="FF00B050"/>
        <rFont val="Aptos Narrow"/>
      </rPr>
      <t xml:space="preserve"> // PARQUE NAUCALLI</t>
    </r>
  </si>
  <si>
    <t>4E2170048482</t>
  </si>
  <si>
    <t>OT-382241</t>
  </si>
  <si>
    <t>19.493583, -99.240528</t>
  </si>
  <si>
    <r>
      <rPr>
        <b/>
        <sz val="11"/>
        <color rgb="FF00B050"/>
        <rFont val="Aptos Narrow"/>
      </rPr>
      <t>CENTRO CULTURAL AGORA</t>
    </r>
    <r>
      <rPr>
        <sz val="11"/>
        <color rgb="FF00B050"/>
        <rFont val="Aptos Narrow"/>
      </rPr>
      <t xml:space="preserve"> // PARQUE NAUCALLI</t>
    </r>
  </si>
  <si>
    <t>4E2170048677</t>
  </si>
  <si>
    <t>OT-382243</t>
  </si>
  <si>
    <t>19.492643, -99.240279</t>
  </si>
  <si>
    <r>
      <rPr>
        <b/>
        <sz val="11"/>
        <color rgb="FF00B050"/>
        <rFont val="Aptos Narrow"/>
      </rPr>
      <t>BODEGA DE MANTENIMIENTO</t>
    </r>
    <r>
      <rPr>
        <sz val="11"/>
        <color rgb="FF00B050"/>
        <rFont val="Aptos Narrow"/>
      </rPr>
      <t xml:space="preserve"> // PARQUE NAUCALLI</t>
    </r>
  </si>
  <si>
    <t>4E2170048577</t>
  </si>
  <si>
    <t>OT-382244</t>
  </si>
  <si>
    <t>19.494972, -99.241389</t>
  </si>
  <si>
    <r>
      <rPr>
        <b/>
        <sz val="11"/>
        <color rgb="FF00B050"/>
        <rFont val="Aptos Narrow"/>
      </rPr>
      <t>CASETA VIGILANCIA</t>
    </r>
    <r>
      <rPr>
        <sz val="11"/>
        <color rgb="FF00B050"/>
        <rFont val="Aptos Narrow"/>
      </rPr>
      <t xml:space="preserve"> // PARQUE NAUCALLI</t>
    </r>
  </si>
  <si>
    <t>4E2170048649</t>
  </si>
  <si>
    <t>OT-382245</t>
  </si>
  <si>
    <t>19.495519, -99.238121</t>
  </si>
  <si>
    <r>
      <rPr>
        <b/>
        <sz val="11"/>
        <color rgb="FF00B050"/>
        <rFont val="Aptos Narrow"/>
      </rPr>
      <t>DERECHOS HUMANOS AGORA</t>
    </r>
    <r>
      <rPr>
        <sz val="11"/>
        <color rgb="FF00B050"/>
        <rFont val="Aptos Narrow"/>
      </rPr>
      <t xml:space="preserve"> // PARQUE NAUCALLI</t>
    </r>
  </si>
  <si>
    <t>4E2170048650</t>
  </si>
  <si>
    <t>OT-382246</t>
  </si>
  <si>
    <t>19.492778, -99.240750</t>
  </si>
  <si>
    <r>
      <rPr>
        <b/>
        <sz val="11"/>
        <color rgb="FF00B050"/>
        <rFont val="Aptos Narrow"/>
      </rPr>
      <t>CASA DE CULTURA 1</t>
    </r>
    <r>
      <rPr>
        <sz val="11"/>
        <color rgb="FF00B050"/>
        <rFont val="Aptos Narrow"/>
      </rPr>
      <t xml:space="preserve"> // PARQUE NAUCALLI</t>
    </r>
  </si>
  <si>
    <t>4E2170048486</t>
  </si>
  <si>
    <t>OT-382247</t>
  </si>
  <si>
    <t>19.496583, -99.237917</t>
  </si>
  <si>
    <r>
      <rPr>
        <b/>
        <sz val="11"/>
        <color rgb="FF00B050"/>
        <rFont val="Aptos Narrow"/>
      </rPr>
      <t>CASA DE CULTURA</t>
    </r>
    <r>
      <rPr>
        <sz val="11"/>
        <color rgb="FF00B050"/>
        <rFont val="Aptos Narrow"/>
      </rPr>
      <t xml:space="preserve"> // PARQUE NAUCALLI</t>
    </r>
  </si>
  <si>
    <t>4E2170048403</t>
  </si>
  <si>
    <t>OT-382248</t>
  </si>
  <si>
    <t>19.478861, -99.233694</t>
  </si>
  <si>
    <r>
      <rPr>
        <b/>
        <sz val="11"/>
        <color rgb="FF000000"/>
        <rFont val="Aptos Narrow"/>
      </rPr>
      <t>PALACIO MUNICIPAL</t>
    </r>
    <r>
      <rPr>
        <sz val="11"/>
        <color rgb="FF000000"/>
        <rFont val="Aptos Narrow"/>
      </rPr>
      <t xml:space="preserve"> // Av. Benito Juárez 39, Naucalpan Centro, 53000 Naucalpan de Juárez, Méx.</t>
    </r>
  </si>
  <si>
    <t>SIN INFORMACION (TK PREMIUM IP)</t>
  </si>
  <si>
    <t>HUB ATIZAPAN</t>
  </si>
  <si>
    <t>HUB CLAUSTROS</t>
  </si>
  <si>
    <t>HUB IZCALLI</t>
  </si>
  <si>
    <t>HUB NAUCALPAN</t>
  </si>
  <si>
    <t>HUB SATELITE</t>
  </si>
  <si>
    <t>NS</t>
  </si>
  <si>
    <t>IP GESTION</t>
  </si>
  <si>
    <t>DISPONIBLE 1G</t>
  </si>
  <si>
    <t>DISPONIBLE 10G</t>
  </si>
  <si>
    <t>PAN</t>
  </si>
  <si>
    <t>FOX2335PAN3</t>
  </si>
  <si>
    <t>10.4.215.145</t>
  </si>
  <si>
    <t>FOX2008P68N</t>
  </si>
  <si>
    <t>10.4.151.193</t>
  </si>
  <si>
    <t>CAT2341V0L7</t>
  </si>
  <si>
    <t>10.4.148.1</t>
  </si>
  <si>
    <t>FOC2246NK3L</t>
  </si>
  <si>
    <t>10.4.198.17</t>
  </si>
  <si>
    <t>AN01</t>
  </si>
  <si>
    <t>10.4.139.130</t>
  </si>
  <si>
    <t>103002033901S22B21S0012G</t>
  </si>
  <si>
    <t>10.4.151.194</t>
  </si>
  <si>
    <t>101614001107S21312S0010G</t>
  </si>
  <si>
    <t>10.4.148.2</t>
  </si>
  <si>
    <t>103002033901S22B21S0004G</t>
  </si>
  <si>
    <t>10.4.198.18</t>
  </si>
  <si>
    <t>AN02</t>
  </si>
  <si>
    <t>10.4.139.134</t>
  </si>
  <si>
    <t>101614001107S21805S0011G</t>
  </si>
  <si>
    <t>10.4.148.3</t>
  </si>
  <si>
    <t>103002033901S23426A0001G</t>
  </si>
  <si>
    <t>10.4.198.20</t>
  </si>
  <si>
    <t>AN03</t>
  </si>
  <si>
    <t>101614001107S22324S0025G</t>
  </si>
  <si>
    <t>10.4.148.4</t>
  </si>
  <si>
    <t>AN04</t>
  </si>
  <si>
    <t>101614001105S17428S0014G</t>
  </si>
  <si>
    <t>10.4.209.162</t>
  </si>
  <si>
    <t>AN05</t>
  </si>
  <si>
    <t>103002033901S22819S0006G</t>
  </si>
  <si>
    <t>10.4.209.163</t>
  </si>
  <si>
    <t>TOTAL</t>
  </si>
  <si>
    <t>HOST NAME</t>
  </si>
  <si>
    <t>N° SERIE</t>
  </si>
  <si>
    <t>PAN_ASR903_CLAUSTROS</t>
  </si>
  <si>
    <t>PAN_ASR903_IZCALLI</t>
  </si>
  <si>
    <t>AN01_RAX721B_HUB_IZC</t>
  </si>
  <si>
    <t xml:space="preserve">PAN_ASR920_NAUCALPAN  </t>
  </si>
  <si>
    <t>PE</t>
  </si>
  <si>
    <t>PE_NCS540_NAUCALPAN</t>
  </si>
  <si>
    <t>FOC2245N9CD</t>
  </si>
  <si>
    <t>10.4.214.161</t>
  </si>
  <si>
    <t>AN01_ISCOM2924_HUB_NAU_CDMX</t>
  </si>
  <si>
    <t>AN02_ISCOM2924_HUB_NAUCALPAN</t>
  </si>
  <si>
    <t>AN03_ISCOM2924_HUB_NAU</t>
  </si>
  <si>
    <t>AN04_ISCOM2924_HUB_NAUCALPAN</t>
  </si>
  <si>
    <t>AN05_RAX721B_HUB_NAU</t>
  </si>
  <si>
    <t>AN06</t>
  </si>
  <si>
    <t>AN06_RAX721B_HUB_NAU</t>
  </si>
  <si>
    <t>103002033901A23C27A0044G</t>
  </si>
  <si>
    <t>10.4.214.162</t>
  </si>
  <si>
    <t>AN07</t>
  </si>
  <si>
    <t>AN07_ISCOM2924_HUB_NAU</t>
  </si>
  <si>
    <t>101614001107S21A09S0020G</t>
  </si>
  <si>
    <t>10.4.148.15</t>
  </si>
  <si>
    <t>PAN_NCS540_SATELITE_CDMX</t>
  </si>
  <si>
    <t>AN01_RAX721B_HUB_SAT</t>
  </si>
  <si>
    <t>AN02_RAX721B_HUB_SAT</t>
  </si>
  <si>
    <t>HUB NICOLAS ROMERO</t>
  </si>
  <si>
    <t>HUB CENETRAL TOREO</t>
  </si>
  <si>
    <t>PAN_ASR920_TOREO_CDMX</t>
  </si>
  <si>
    <t>CAT2334V07W</t>
  </si>
  <si>
    <t>10.4.142.209</t>
  </si>
  <si>
    <t>HUB BARRIENTOS</t>
  </si>
  <si>
    <t>PAN_ASR903_BARRIENTOS</t>
  </si>
  <si>
    <t>FOX2302PDSG</t>
  </si>
  <si>
    <t>10.6.14.1</t>
  </si>
  <si>
    <t>AN01_RAX721B_HUB_BAR</t>
  </si>
  <si>
    <t>103002033901S23510A0003G</t>
  </si>
  <si>
    <t>10.4.207.98</t>
  </si>
  <si>
    <t>TS</t>
  </si>
  <si>
    <t>SUSCRIPTOR</t>
  </si>
  <si>
    <t>HUB DESTINO</t>
  </si>
  <si>
    <t>SERVICIO</t>
  </si>
  <si>
    <t>BDI NUEVA</t>
  </si>
  <si>
    <t>IP GESTION NUEVA</t>
  </si>
  <si>
    <t>IP AN NUEVA</t>
  </si>
  <si>
    <t>PUERTO NUEVO</t>
  </si>
  <si>
    <t>SERIE</t>
  </si>
  <si>
    <t>OT-355037</t>
  </si>
  <si>
    <t>TS-425688</t>
  </si>
  <si>
    <t>63-54793</t>
  </si>
  <si>
    <t>X O Chihuahua</t>
  </si>
  <si>
    <t>HUB30 Atizapan</t>
  </si>
  <si>
    <t>10.6.7.33</t>
  </si>
  <si>
    <t>Gi1/2/1</t>
  </si>
  <si>
    <t>101625001007S19723S0141G</t>
  </si>
  <si>
    <t>OT-293858</t>
  </si>
  <si>
    <t>TS-345841</t>
  </si>
  <si>
    <t>323-2978-2</t>
  </si>
  <si>
    <t>Techcomm Wireless</t>
  </si>
  <si>
    <t>IDE 500 Mbps</t>
  </si>
  <si>
    <t>10.6.7.34</t>
  </si>
  <si>
    <t>Gi0/5/2</t>
  </si>
  <si>
    <t>CAMbuo</t>
  </si>
  <si>
    <t>OT-274680</t>
  </si>
  <si>
    <t>TS-317061</t>
  </si>
  <si>
    <t>63-66202-2</t>
  </si>
  <si>
    <t>CJ Logistics Mexico</t>
  </si>
  <si>
    <t>10.6.7.35</t>
  </si>
  <si>
    <t>Gi1/2/2</t>
  </si>
  <si>
    <t>HAWEI</t>
  </si>
  <si>
    <t>OT-268959</t>
  </si>
  <si>
    <t>TS-307249</t>
  </si>
  <si>
    <t>63-67342-2</t>
  </si>
  <si>
    <t>Sampa Parcelas</t>
  </si>
  <si>
    <t>10.6.7.36</t>
  </si>
  <si>
    <t>Gi1/2/3</t>
  </si>
  <si>
    <t>63-67342-5</t>
  </si>
  <si>
    <t>TKSIP</t>
  </si>
  <si>
    <t>OT-227095</t>
  </si>
  <si>
    <t>TS-241382</t>
  </si>
  <si>
    <t>323-772-2</t>
  </si>
  <si>
    <t>IG Networks Intergoble</t>
  </si>
  <si>
    <t>LPE 10 Mbp</t>
  </si>
  <si>
    <t>10.6.7.37</t>
  </si>
  <si>
    <t>Gi1/2/4</t>
  </si>
  <si>
    <t>101625001010S20525S0586G</t>
  </si>
  <si>
    <t>OT-287273</t>
  </si>
  <si>
    <t>TS-337414</t>
  </si>
  <si>
    <t>63-56929-2</t>
  </si>
  <si>
    <t>CTI Group Internacional</t>
  </si>
  <si>
    <t>IDE 50 Mbps</t>
  </si>
  <si>
    <t>10.6.7.38</t>
  </si>
  <si>
    <t>Gi1/2/5</t>
  </si>
  <si>
    <t>HUAWEI</t>
  </si>
  <si>
    <t>63-56929-5</t>
  </si>
  <si>
    <t>OT-264012</t>
  </si>
  <si>
    <t>TS-299400</t>
  </si>
  <si>
    <t>63-57804-2</t>
  </si>
  <si>
    <t>Aspen Labs</t>
  </si>
  <si>
    <t>10.6.7.39</t>
  </si>
  <si>
    <t>Gi1/2/6</t>
  </si>
  <si>
    <t>101625001010S19B06S0314G</t>
  </si>
  <si>
    <t>OT-324138</t>
  </si>
  <si>
    <t>TS-369054</t>
  </si>
  <si>
    <t>323-923-2</t>
  </si>
  <si>
    <t>Intelideck</t>
  </si>
  <si>
    <t>IDE 200 Mbps</t>
  </si>
  <si>
    <t>10.6.7.40</t>
  </si>
  <si>
    <t>Gi1/2/7</t>
  </si>
  <si>
    <t>101625001010S20525S0666G</t>
  </si>
  <si>
    <t>OT-334692</t>
  </si>
  <si>
    <t>TS-393237</t>
  </si>
  <si>
    <t>63-64680-2</t>
  </si>
  <si>
    <t>Grupo CIE Pirules</t>
  </si>
  <si>
    <t>10.6.7.41</t>
  </si>
  <si>
    <t>Gi1/2/8</t>
  </si>
  <si>
    <t>101625001010S20B03S0502G</t>
  </si>
  <si>
    <t>OT-338895</t>
  </si>
  <si>
    <t>TS-400294</t>
  </si>
  <si>
    <t>323-949-2</t>
  </si>
  <si>
    <t>Frialsa Frigorificos Pirules</t>
  </si>
  <si>
    <t>10.6.7.42</t>
  </si>
  <si>
    <t>Gi1/2/9</t>
  </si>
  <si>
    <t>101625001010S20B03S0059G</t>
  </si>
  <si>
    <t>OT-357541</t>
  </si>
  <si>
    <t>TS-431374</t>
  </si>
  <si>
    <t>323-943-2</t>
  </si>
  <si>
    <t>Estafeta Mexicana San Martin</t>
  </si>
  <si>
    <t>10.6.7.43</t>
  </si>
  <si>
    <t>Gi1/2/10</t>
  </si>
  <si>
    <t>101625001010S20310S0160G</t>
  </si>
  <si>
    <t>OT-336415</t>
  </si>
  <si>
    <t>TS-396133</t>
  </si>
  <si>
    <t>323-734-2</t>
  </si>
  <si>
    <t>Tip México SAPI</t>
  </si>
  <si>
    <t>IDE 300 Mbps</t>
  </si>
  <si>
    <t>10.6.7.44</t>
  </si>
  <si>
    <t>Gi1/2/11</t>
  </si>
  <si>
    <t>101625001010S19C19S0474G</t>
  </si>
  <si>
    <t>OT-336003</t>
  </si>
  <si>
    <t>TS-395602</t>
  </si>
  <si>
    <t>63-98077</t>
  </si>
  <si>
    <t>Husky Injection Molding Systems Mexico</t>
  </si>
  <si>
    <t>10.6.7.45</t>
  </si>
  <si>
    <t>Gi1/2/12</t>
  </si>
  <si>
    <t>101625001011S22521S0737G</t>
  </si>
  <si>
    <t>OT-331232</t>
  </si>
  <si>
    <t>TS-388171</t>
  </si>
  <si>
    <t>323-3363-3</t>
  </si>
  <si>
    <t>NG Equipo especializados en renta</t>
  </si>
  <si>
    <t>10.6.7.46</t>
  </si>
  <si>
    <t>Gi1/2/13</t>
  </si>
  <si>
    <t>101625004400A23B23A0147G</t>
  </si>
  <si>
    <t>OT-301823</t>
  </si>
  <si>
    <t>TS-351050</t>
  </si>
  <si>
    <t>63-75330-2</t>
  </si>
  <si>
    <t>PiSA San Martín de Obispo</t>
  </si>
  <si>
    <t>10.6.7.47</t>
  </si>
  <si>
    <t>Gi1/2/14</t>
  </si>
  <si>
    <t>101625001011S22521S1171G</t>
  </si>
  <si>
    <t>OT-253872</t>
  </si>
  <si>
    <t>TS-282288</t>
  </si>
  <si>
    <t>323-1703-3</t>
  </si>
  <si>
    <t>Laboratorios PISA Pirules</t>
  </si>
  <si>
    <t>10.6.7.48</t>
  </si>
  <si>
    <t>Gi1/2/15</t>
  </si>
  <si>
    <t>101625001010S18904S0358G</t>
  </si>
  <si>
    <t>OT-338892</t>
  </si>
  <si>
    <t>TS-400290</t>
  </si>
  <si>
    <t>63-69746-2</t>
  </si>
  <si>
    <t>Navistar Mexico Tejocole</t>
  </si>
  <si>
    <t>IDE 400 Mbps</t>
  </si>
  <si>
    <t>10.6.7.49</t>
  </si>
  <si>
    <t>Gi0/5/3</t>
  </si>
  <si>
    <t>OT-288544</t>
  </si>
  <si>
    <t>TS-339657</t>
  </si>
  <si>
    <t>63-81843-2</t>
  </si>
  <si>
    <t>Michelin Sascar</t>
  </si>
  <si>
    <t>10.6.7.50</t>
  </si>
  <si>
    <t>Gi1/2/16</t>
  </si>
  <si>
    <t>101625001011S22521S1255G</t>
  </si>
  <si>
    <t>OT-295063</t>
  </si>
  <si>
    <t>TS-347936</t>
  </si>
  <si>
    <t>63-85182-2</t>
  </si>
  <si>
    <t>Europastry Mexico Incorporated</t>
  </si>
  <si>
    <t>10.6.7.51</t>
  </si>
  <si>
    <t>Gi1/2/17</t>
  </si>
  <si>
    <t>101625001020S23525A0353G</t>
  </si>
  <si>
    <t>323-3006-2</t>
  </si>
  <si>
    <t>Almacenaje y Distribucion Avior</t>
  </si>
  <si>
    <t>10.6.7.52</t>
  </si>
  <si>
    <t>Gi1/2/18</t>
  </si>
  <si>
    <t>OT-306119</t>
  </si>
  <si>
    <t>TS-357745</t>
  </si>
  <si>
    <t>457-16694-3</t>
  </si>
  <si>
    <t>Soluglob Ikon</t>
  </si>
  <si>
    <t>10.6.7.53</t>
  </si>
  <si>
    <t>Gi1/2/19</t>
  </si>
  <si>
    <t>101625001020A23811A0015G</t>
  </si>
  <si>
    <t>OT-302698</t>
  </si>
  <si>
    <t>TS-352346</t>
  </si>
  <si>
    <t>323-3099-2</t>
  </si>
  <si>
    <t>Grupo Ruz</t>
  </si>
  <si>
    <t>10.6.7.54</t>
  </si>
  <si>
    <t>Gi1/2/20</t>
  </si>
  <si>
    <t>101625001020A23710A0088G</t>
  </si>
  <si>
    <t>JAULA</t>
  </si>
  <si>
    <t>BODEGA</t>
  </si>
  <si>
    <t>OFICINA</t>
  </si>
  <si>
    <t>TIPO</t>
  </si>
  <si>
    <t>CANTIDAD</t>
  </si>
  <si>
    <t>UBICACION</t>
  </si>
  <si>
    <t>COMENTARIOS</t>
  </si>
  <si>
    <t>CABEZAL</t>
  </si>
  <si>
    <t>CMP201A</t>
  </si>
  <si>
    <t>FL23156920061</t>
  </si>
  <si>
    <t>EN SU CAJA</t>
  </si>
  <si>
    <t>OT-361497 TOREO POSADAS</t>
  </si>
  <si>
    <t>OADM 1390-1410</t>
  </si>
  <si>
    <t>FL23156920006</t>
  </si>
  <si>
    <t>OT-361450 CUATITLAN POSADAS</t>
  </si>
  <si>
    <t>OADM 1510-1530</t>
  </si>
  <si>
    <t>VARIOS</t>
  </si>
  <si>
    <t>CPE</t>
  </si>
  <si>
    <t>101625001010S20B03S0249G</t>
  </si>
  <si>
    <t>CAJA UPS 1</t>
  </si>
  <si>
    <t>RECUPERADOS NAUCALPAN</t>
  </si>
  <si>
    <t>1310 HUAWEI</t>
  </si>
  <si>
    <t>BOLSA</t>
  </si>
  <si>
    <t>101625001011S22521S1239G</t>
  </si>
  <si>
    <t>1310 OPTICTIMES</t>
  </si>
  <si>
    <t>101625001010S18320S0275G</t>
  </si>
  <si>
    <t>1310 RAISECOM S1</t>
  </si>
  <si>
    <t>101625001010S18307S0141G</t>
  </si>
  <si>
    <t>1310 RAISECOM S2</t>
  </si>
  <si>
    <t>101625001010S20B03S0411G</t>
  </si>
  <si>
    <t>RECUPERADO OT340245-AUTOTRANSPORTES DELTA</t>
  </si>
  <si>
    <t>1310 RAISECOM S3</t>
  </si>
  <si>
    <t>AXIOM 1490-1310</t>
  </si>
  <si>
    <t>101625001010S21817S0245G</t>
  </si>
  <si>
    <t>ELECTRICO SUMAVISION</t>
  </si>
  <si>
    <t>SDT 1290 40 KM</t>
  </si>
  <si>
    <t>SDT 1370 40 KM</t>
  </si>
  <si>
    <t>101625001010S21813S0334G</t>
  </si>
  <si>
    <t>SDT 1430 80 KM</t>
  </si>
  <si>
    <t>101625001010S21A14S0172G</t>
  </si>
  <si>
    <t>1450 80 KM</t>
  </si>
  <si>
    <t>1470 40KM - 80 KM</t>
  </si>
  <si>
    <t>101625001010S20525S0280G</t>
  </si>
  <si>
    <t>1490 40KM - 80 KM</t>
  </si>
  <si>
    <t>1510 40KM - 80 KM</t>
  </si>
  <si>
    <t>S5735-L12T4S-A</t>
  </si>
  <si>
    <t>4EM1001373</t>
  </si>
  <si>
    <t>RECUPERADOS PROBABLEMENTE RHINO</t>
  </si>
  <si>
    <t>1530 40KM - 80 KM</t>
  </si>
  <si>
    <t>S5735-L8T4S-A1</t>
  </si>
  <si>
    <t>CAJA 1</t>
  </si>
  <si>
    <t>1550 40KM - 80 KM</t>
  </si>
  <si>
    <t>1570 40KM - 80 KM</t>
  </si>
  <si>
    <t>1590 40KM</t>
  </si>
  <si>
    <t>4E2170047506</t>
  </si>
  <si>
    <t>1610 40KM - 80 KM</t>
  </si>
  <si>
    <t>4E2170047971</t>
  </si>
  <si>
    <t>CAJA 2</t>
  </si>
  <si>
    <t>4E2170048447</t>
  </si>
  <si>
    <t>FORTIWIFI 40F</t>
  </si>
  <si>
    <t>FWF40FTK20011685</t>
  </si>
  <si>
    <t>RECUPERADO</t>
  </si>
  <si>
    <t>4E2160094137</t>
  </si>
  <si>
    <t>CAJA 3</t>
  </si>
  <si>
    <t>ASR920</t>
  </si>
  <si>
    <t>CAT2047V1HC</t>
  </si>
  <si>
    <t>SUELTO</t>
  </si>
  <si>
    <t>CABLES</t>
  </si>
  <si>
    <t>PATCHCORE</t>
  </si>
  <si>
    <t>SIN NS</t>
  </si>
  <si>
    <t>CAJA UPS 2</t>
  </si>
  <si>
    <t>RETAZOS PATCHCORE SIN PONCHAR</t>
  </si>
  <si>
    <t>CABLES DE AC</t>
  </si>
  <si>
    <t>SIN MODELO</t>
  </si>
  <si>
    <t>CAJA FIBER HOME</t>
  </si>
  <si>
    <t>RECUPERADOS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</si>
</sst>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d/mm/yy"/>
    <numFmt numFmtId="165" formatCode="d/m/yyyy"/>
  </numFmts>
  <fonts count="35">
    <font>
      <sz val="10"/>
      <color rgb="FF000000"/>
      <name val="Arial"/>
      <scheme val="minor"/>
    </font>
    <font>
      <b/>
      <sz val="9"/>
      <color theme="1"/>
      <name val="Calibri"/>
    </font>
    <font>
      <b/>
      <sz val="8"/>
      <color rgb="FFFFFFFF"/>
      <name val="Calibri"/>
    </font>
    <font>
      <sz val="8"/>
      <color theme="1"/>
      <name val="Calibri"/>
    </font>
    <font>
      <sz val="10"/>
      <color theme="1"/>
      <name val="Arial"/>
    </font>
    <font>
      <sz val="8"/>
      <color rgb="FFCC0000"/>
      <name val="Arial"/>
    </font>
    <font>
      <sz val="8"/>
      <color rgb="FF00FF00"/>
      <name val="Arial"/>
    </font>
    <font>
      <sz val="8"/>
      <color theme="1"/>
      <name val="Arial"/>
    </font>
    <font>
      <sz val="8"/>
      <color rgb="FF222222"/>
      <name val="Arial"/>
    </font>
    <font>
      <sz val="10"/>
      <color rgb="FFCC0000"/>
      <name val="Arial"/>
    </font>
    <font>
      <sz val="10"/>
      <color theme="1"/>
      <name val="Arial"/>
      <scheme val="minor"/>
    </font>
    <font>
      <b/>
      <sz val="11"/>
      <color rgb="FF000000"/>
      <name val="Calibri"/>
    </font>
    <font>
      <sz val="10"/>
      <name val="Arial"/>
    </font>
    <font>
      <sz val="11"/>
      <color rgb="FF000000"/>
      <name val="Calibri"/>
    </font>
    <font>
      <b/>
      <sz val="10"/>
      <color theme="1"/>
      <name val="Calibri"/>
    </font>
    <font>
      <sz val="10"/>
      <color rgb="FF000000"/>
      <name val="Arial"/>
    </font>
    <font>
      <sz val="11"/>
      <color theme="1"/>
      <name val="Calibri"/>
    </font>
    <font>
      <b/>
      <sz val="8"/>
      <color theme="1"/>
      <name val="Calibri"/>
    </font>
    <font>
      <sz val="8"/>
      <color theme="1"/>
      <name val="Arial"/>
      <scheme val="minor"/>
    </font>
    <font>
      <sz val="8"/>
      <color rgb="FF000000"/>
      <name val="Arial"/>
      <scheme val="minor"/>
    </font>
    <font>
      <b/>
      <sz val="8"/>
      <color rgb="FFFF0000"/>
      <name val="Calibri"/>
    </font>
    <font>
      <sz val="8"/>
      <color rgb="FF000000"/>
      <name val="Calibri"/>
    </font>
    <font>
      <sz val="12"/>
      <color rgb="FF000000"/>
      <name val="Aptos"/>
      <charset val="1"/>
    </font>
    <font>
      <sz val="10"/>
      <color rgb="FF000000"/>
      <name val="Times New Roman"/>
      <charset val="1"/>
    </font>
    <font>
      <sz val="8"/>
      <color rgb="FFFF0000"/>
      <name val="Calibri"/>
    </font>
    <font>
      <sz val="11"/>
      <color rgb="FF000000"/>
      <name val="Aptos Narrow"/>
      <family val="2"/>
      <charset val="1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00B050"/>
      <name val="Aptos Narrow"/>
    </font>
    <font>
      <b/>
      <sz val="11"/>
      <color rgb="FF00B050"/>
      <name val="Aptos Narrow"/>
    </font>
    <font>
      <b/>
      <sz val="10"/>
      <color rgb="FFFFFFFF"/>
      <name val="Arial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0"/>
      <color rgb="FFFFFFFF"/>
      <name val="Arial"/>
    </font>
    <font>
      <b/>
      <sz val="15"/>
      <color theme="3"/>
      <name val="Arial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  <fill>
      <patternFill patternType="solid">
        <fgColor rgb="FFA8D08D"/>
        <bgColor rgb="FFA8D08D"/>
      </patternFill>
    </fill>
    <fill>
      <patternFill patternType="solid">
        <fgColor rgb="FFCC4125"/>
        <bgColor rgb="FFCC4125"/>
      </patternFill>
    </fill>
    <fill>
      <patternFill patternType="solid">
        <fgColor rgb="FFFF0000"/>
        <bgColor rgb="FFFF0000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C78D8"/>
      </left>
      <right style="thin">
        <color rgb="FF3C78D8"/>
      </right>
      <top style="thin">
        <color rgb="FFFFFFFF"/>
      </top>
      <bottom style="thin">
        <color rgb="FF3C78D8"/>
      </bottom>
      <diagonal/>
    </border>
    <border>
      <left style="thin">
        <color rgb="FFFFFFFF"/>
      </left>
      <right style="thin">
        <color rgb="FF3C78D8"/>
      </right>
      <top style="thin">
        <color rgb="FFFFFFFF"/>
      </top>
      <bottom style="thin">
        <color rgb="FF3C78D8"/>
      </bottom>
      <diagonal/>
    </border>
    <border>
      <left style="thin">
        <color rgb="FF3C78D8"/>
      </left>
      <right style="thin">
        <color rgb="FF3C78D8"/>
      </right>
      <top style="thin">
        <color rgb="FFF6F8F9"/>
      </top>
      <bottom style="thin">
        <color rgb="FF3C78D8"/>
      </bottom>
      <diagonal/>
    </border>
    <border>
      <left style="thin">
        <color rgb="FFF6F8F9"/>
      </left>
      <right style="thin">
        <color rgb="FF3C78D8"/>
      </right>
      <top style="thin">
        <color rgb="FFF6F8F9"/>
      </top>
      <bottom style="thin">
        <color rgb="FF3C78D8"/>
      </bottom>
      <diagonal/>
    </border>
    <border>
      <left style="thin">
        <color rgb="FF284E3F"/>
      </left>
      <right style="thin">
        <color rgb="FF3C78D8"/>
      </right>
      <top style="thin">
        <color rgb="FFFFFFFF"/>
      </top>
      <bottom style="thin">
        <color rgb="FF3C78D8"/>
      </bottom>
      <diagonal/>
    </border>
    <border>
      <left style="thin">
        <color rgb="FF284E3F"/>
      </left>
      <right style="thin">
        <color rgb="FF3C78D8"/>
      </right>
      <top style="thin">
        <color rgb="FFF6F8F9"/>
      </top>
      <bottom style="thin">
        <color rgb="FF3C78D8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C78D8"/>
      </bottom>
      <diagonal/>
    </border>
    <border>
      <left style="thin">
        <color rgb="FFF6F8F9"/>
      </left>
      <right style="thin">
        <color rgb="FF6FA8DC"/>
      </right>
      <top style="thin">
        <color rgb="FFF6F8F9"/>
      </top>
      <bottom style="thin">
        <color rgb="FF3C78D8"/>
      </bottom>
      <diagonal/>
    </border>
    <border>
      <left style="thin">
        <color rgb="FF3C78D8"/>
      </left>
      <right style="thin">
        <color rgb="FF3C78D8"/>
      </right>
      <top style="thin">
        <color rgb="FFFFC000"/>
      </top>
      <bottom style="thin">
        <color rgb="FF3C78D8"/>
      </bottom>
      <diagonal/>
    </border>
    <border>
      <left style="thin">
        <color rgb="FFFFC000"/>
      </left>
      <right style="thin">
        <color rgb="FF3C78D8"/>
      </right>
      <top style="thin">
        <color rgb="FFFFC000"/>
      </top>
      <bottom style="thin">
        <color rgb="FF3C78D8"/>
      </bottom>
      <diagonal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  <diagonal/>
    </border>
    <border>
      <left style="thin">
        <color rgb="FF3C78D8"/>
      </left>
      <right style="thin">
        <color rgb="FF3C78D8"/>
      </right>
      <top style="thin">
        <color rgb="FFFF0000"/>
      </top>
      <bottom style="thin">
        <color rgb="FF3C78D8"/>
      </bottom>
      <diagonal/>
    </border>
    <border>
      <left style="thin">
        <color rgb="FFFF0000"/>
      </left>
      <right style="thin">
        <color rgb="FF3C78D8"/>
      </right>
      <top style="thin">
        <color rgb="FFFF0000"/>
      </top>
      <bottom style="thin">
        <color rgb="FF3C78D8"/>
      </bottom>
      <diagonal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284E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CB5F9"/>
      </left>
      <right/>
      <top style="thin">
        <color rgb="FF8CB5F9"/>
      </top>
      <bottom style="thin">
        <color rgb="FF8CB5F9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8EA9DB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0" fontId="34" fillId="0" borderId="42" applyNumberFormat="0" applyFill="0" applyAlignment="0" applyProtection="0"/>
  </cellStyleXfs>
  <cellXfs count="2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0" fontId="1" fillId="2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165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11" borderId="1" xfId="0" applyFont="1" applyFill="1" applyBorder="1" applyAlignment="1">
      <alignment wrapText="1"/>
    </xf>
    <xf numFmtId="165" fontId="3" fillId="11" borderId="1" xfId="0" applyNumberFormat="1" applyFont="1" applyFill="1" applyBorder="1" applyAlignment="1">
      <alignment horizontal="center" wrapText="1"/>
    </xf>
    <xf numFmtId="165" fontId="8" fillId="11" borderId="1" xfId="0" applyNumberFormat="1" applyFont="1" applyFill="1" applyBorder="1" applyAlignment="1">
      <alignment horizontal="center" wrapText="1"/>
    </xf>
    <xf numFmtId="14" fontId="3" fillId="11" borderId="1" xfId="0" applyNumberFormat="1" applyFont="1" applyFill="1" applyBorder="1" applyAlignment="1">
      <alignment horizontal="center" wrapText="1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3" fillId="0" borderId="2" xfId="0" applyFont="1" applyBorder="1"/>
    <xf numFmtId="0" fontId="13" fillId="0" borderId="14" xfId="0" applyFont="1" applyBorder="1"/>
    <xf numFmtId="0" fontId="13" fillId="0" borderId="14" xfId="0" applyFont="1" applyBorder="1" applyAlignment="1">
      <alignment horizontal="center"/>
    </xf>
    <xf numFmtId="0" fontId="13" fillId="13" borderId="14" xfId="0" applyFont="1" applyFill="1" applyBorder="1"/>
    <xf numFmtId="0" fontId="13" fillId="13" borderId="14" xfId="0" applyFont="1" applyFill="1" applyBorder="1" applyAlignment="1">
      <alignment horizontal="center"/>
    </xf>
    <xf numFmtId="0" fontId="13" fillId="13" borderId="2" xfId="0" applyFont="1" applyFill="1" applyBorder="1"/>
    <xf numFmtId="0" fontId="13" fillId="13" borderId="15" xfId="0" applyFont="1" applyFill="1" applyBorder="1"/>
    <xf numFmtId="0" fontId="13" fillId="13" borderId="15" xfId="0" applyFont="1" applyFill="1" applyBorder="1" applyAlignment="1">
      <alignment horizontal="center"/>
    </xf>
    <xf numFmtId="0" fontId="13" fillId="0" borderId="0" xfId="0" applyFont="1"/>
    <xf numFmtId="0" fontId="11" fillId="0" borderId="1" xfId="0" applyFont="1" applyBorder="1"/>
    <xf numFmtId="0" fontId="11" fillId="0" borderId="13" xfId="0" applyFont="1" applyBorder="1" applyAlignment="1">
      <alignment horizontal="center"/>
    </xf>
    <xf numFmtId="0" fontId="11" fillId="0" borderId="2" xfId="0" applyFont="1" applyBorder="1"/>
    <xf numFmtId="0" fontId="14" fillId="0" borderId="3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5" fillId="0" borderId="17" xfId="0" applyFont="1" applyBorder="1"/>
    <xf numFmtId="0" fontId="15" fillId="0" borderId="18" xfId="0" applyFont="1" applyBorder="1"/>
    <xf numFmtId="0" fontId="15" fillId="0" borderId="18" xfId="0" applyFont="1" applyBorder="1" applyAlignment="1">
      <alignment horizontal="center"/>
    </xf>
    <xf numFmtId="0" fontId="13" fillId="0" borderId="6" xfId="0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center"/>
    </xf>
    <xf numFmtId="0" fontId="13" fillId="0" borderId="8" xfId="0" applyFont="1" applyBorder="1"/>
    <xf numFmtId="0" fontId="15" fillId="0" borderId="20" xfId="0" applyFont="1" applyBorder="1" applyAlignment="1">
      <alignment vertical="center"/>
    </xf>
    <xf numFmtId="0" fontId="15" fillId="0" borderId="21" xfId="0" applyFont="1" applyBorder="1"/>
    <xf numFmtId="0" fontId="15" fillId="0" borderId="18" xfId="0" applyFont="1" applyBorder="1" applyAlignment="1">
      <alignment vertical="center"/>
    </xf>
    <xf numFmtId="0" fontId="15" fillId="0" borderId="22" xfId="0" applyFont="1" applyBorder="1"/>
    <xf numFmtId="0" fontId="15" fillId="0" borderId="23" xfId="0" applyFont="1" applyBorder="1"/>
    <xf numFmtId="0" fontId="15" fillId="0" borderId="24" xfId="0" applyFont="1" applyBorder="1"/>
    <xf numFmtId="0" fontId="4" fillId="12" borderId="25" xfId="0" applyFont="1" applyFill="1" applyBorder="1"/>
    <xf numFmtId="0" fontId="4" fillId="12" borderId="26" xfId="0" applyFont="1" applyFill="1" applyBorder="1"/>
    <xf numFmtId="0" fontId="4" fillId="12" borderId="26" xfId="0" applyFont="1" applyFill="1" applyBorder="1" applyAlignment="1">
      <alignment horizontal="center"/>
    </xf>
    <xf numFmtId="0" fontId="16" fillId="12" borderId="27" xfId="0" applyFont="1" applyFill="1" applyBorder="1"/>
    <xf numFmtId="0" fontId="15" fillId="12" borderId="25" xfId="0" applyFont="1" applyFill="1" applyBorder="1"/>
    <xf numFmtId="0" fontId="15" fillId="12" borderId="26" xfId="0" applyFont="1" applyFill="1" applyBorder="1"/>
    <xf numFmtId="0" fontId="15" fillId="12" borderId="26" xfId="0" applyFont="1" applyFill="1" applyBorder="1" applyAlignment="1">
      <alignment horizontal="center"/>
    </xf>
    <xf numFmtId="0" fontId="13" fillId="12" borderId="27" xfId="0" applyFont="1" applyFill="1" applyBorder="1"/>
    <xf numFmtId="0" fontId="15" fillId="5" borderId="28" xfId="0" applyFont="1" applyFill="1" applyBorder="1"/>
    <xf numFmtId="0" fontId="15" fillId="5" borderId="29" xfId="0" applyFont="1" applyFill="1" applyBorder="1"/>
    <xf numFmtId="0" fontId="4" fillId="5" borderId="29" xfId="0" applyFont="1" applyFill="1" applyBorder="1"/>
    <xf numFmtId="0" fontId="4" fillId="5" borderId="29" xfId="0" applyFont="1" applyFill="1" applyBorder="1" applyAlignment="1">
      <alignment horizontal="center"/>
    </xf>
    <xf numFmtId="0" fontId="13" fillId="12" borderId="30" xfId="0" applyFont="1" applyFill="1" applyBorder="1"/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3" fillId="0" borderId="1" xfId="0" applyNumberFormat="1" applyFont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wrapText="1"/>
    </xf>
    <xf numFmtId="0" fontId="4" fillId="6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wrapText="1"/>
    </xf>
    <xf numFmtId="0" fontId="4" fillId="9" borderId="1" xfId="0" applyFont="1" applyFill="1" applyBorder="1" applyAlignment="1">
      <alignment horizontal="center" wrapText="1"/>
    </xf>
    <xf numFmtId="164" fontId="3" fillId="0" borderId="2" xfId="0" applyNumberFormat="1" applyFont="1" applyBorder="1" applyAlignment="1">
      <alignment horizontal="center" wrapText="1"/>
    </xf>
    <xf numFmtId="0" fontId="4" fillId="0" borderId="0" xfId="0" applyFont="1" applyAlignment="1">
      <alignment wrapText="1"/>
    </xf>
    <xf numFmtId="1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fillId="14" borderId="14" xfId="0" applyFont="1" applyFill="1" applyBorder="1"/>
    <xf numFmtId="0" fontId="13" fillId="0" borderId="34" xfId="0" applyFont="1" applyBorder="1"/>
    <xf numFmtId="0" fontId="13" fillId="0" borderId="35" xfId="0" applyFont="1" applyBorder="1"/>
    <xf numFmtId="0" fontId="13" fillId="15" borderId="34" xfId="0" applyFont="1" applyFill="1" applyBorder="1"/>
    <xf numFmtId="0" fontId="13" fillId="15" borderId="35" xfId="0" applyFont="1" applyFill="1" applyBorder="1"/>
    <xf numFmtId="14" fontId="3" fillId="0" borderId="1" xfId="0" applyNumberFormat="1" applyFont="1" applyBorder="1" applyAlignment="1">
      <alignment wrapText="1"/>
    </xf>
    <xf numFmtId="14" fontId="4" fillId="9" borderId="1" xfId="0" applyNumberFormat="1" applyFont="1" applyFill="1" applyBorder="1" applyAlignment="1">
      <alignment horizontal="center" wrapText="1"/>
    </xf>
    <xf numFmtId="164" fontId="17" fillId="2" borderId="1" xfId="0" applyNumberFormat="1" applyFont="1" applyFill="1" applyBorder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3" fillId="14" borderId="1" xfId="0" applyFont="1" applyFill="1" applyBorder="1" applyAlignment="1">
      <alignment wrapText="1"/>
    </xf>
    <xf numFmtId="0" fontId="3" fillId="16" borderId="1" xfId="0" applyFont="1" applyFill="1" applyBorder="1" applyAlignment="1">
      <alignment wrapText="1"/>
    </xf>
    <xf numFmtId="0" fontId="20" fillId="14" borderId="1" xfId="0" applyFont="1" applyFill="1" applyBorder="1" applyAlignment="1">
      <alignment wrapText="1"/>
    </xf>
    <xf numFmtId="0" fontId="13" fillId="0" borderId="35" xfId="0" applyFont="1" applyBorder="1" applyAlignment="1">
      <alignment horizontal="left"/>
    </xf>
    <xf numFmtId="3" fontId="13" fillId="0" borderId="35" xfId="0" applyNumberFormat="1" applyFont="1" applyBorder="1" applyAlignment="1">
      <alignment horizontal="left"/>
    </xf>
    <xf numFmtId="3" fontId="13" fillId="15" borderId="35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22" fillId="17" borderId="0" xfId="0" applyFont="1" applyFill="1" applyAlignment="1">
      <alignment wrapText="1"/>
    </xf>
    <xf numFmtId="0" fontId="23" fillId="0" borderId="0" xfId="0" applyFont="1"/>
    <xf numFmtId="0" fontId="23" fillId="0" borderId="0" xfId="0" applyFont="1" applyAlignment="1">
      <alignment horizontal="right" wrapText="1"/>
    </xf>
    <xf numFmtId="164" fontId="1" fillId="18" borderId="1" xfId="0" applyNumberFormat="1" applyFont="1" applyFill="1" applyBorder="1" applyAlignment="1">
      <alignment horizontal="center" wrapText="1"/>
    </xf>
    <xf numFmtId="0" fontId="23" fillId="0" borderId="0" xfId="0" applyFont="1" applyAlignment="1">
      <alignment wrapText="1"/>
    </xf>
    <xf numFmtId="165" fontId="3" fillId="14" borderId="1" xfId="0" applyNumberFormat="1" applyFont="1" applyFill="1" applyBorder="1" applyAlignment="1">
      <alignment horizontal="center" wrapText="1"/>
    </xf>
    <xf numFmtId="164" fontId="3" fillId="14" borderId="1" xfId="0" applyNumberFormat="1" applyFont="1" applyFill="1" applyBorder="1" applyAlignment="1">
      <alignment horizontal="center" wrapText="1"/>
    </xf>
    <xf numFmtId="0" fontId="22" fillId="0" borderId="0" xfId="0" applyFont="1"/>
    <xf numFmtId="0" fontId="25" fillId="19" borderId="36" xfId="0" applyFont="1" applyFill="1" applyBorder="1" applyAlignment="1">
      <alignment wrapText="1"/>
    </xf>
    <xf numFmtId="0" fontId="25" fillId="19" borderId="33" xfId="0" applyFont="1" applyFill="1" applyBorder="1" applyAlignment="1">
      <alignment wrapText="1"/>
    </xf>
    <xf numFmtId="0" fontId="25" fillId="17" borderId="34" xfId="0" applyFont="1" applyFill="1" applyBorder="1" applyAlignment="1">
      <alignment wrapText="1"/>
    </xf>
    <xf numFmtId="0" fontId="25" fillId="17" borderId="35" xfId="0" applyFont="1" applyFill="1" applyBorder="1" applyAlignment="1">
      <alignment wrapText="1"/>
    </xf>
    <xf numFmtId="0" fontId="0" fillId="20" borderId="0" xfId="0" applyFill="1"/>
    <xf numFmtId="0" fontId="27" fillId="17" borderId="35" xfId="0" applyFont="1" applyFill="1" applyBorder="1" applyAlignment="1">
      <alignment wrapText="1"/>
    </xf>
    <xf numFmtId="0" fontId="26" fillId="17" borderId="35" xfId="0" applyFont="1" applyFill="1" applyBorder="1" applyAlignment="1">
      <alignment wrapText="1"/>
    </xf>
    <xf numFmtId="0" fontId="28" fillId="17" borderId="35" xfId="0" applyFont="1" applyFill="1" applyBorder="1" applyAlignment="1">
      <alignment wrapText="1"/>
    </xf>
    <xf numFmtId="0" fontId="29" fillId="17" borderId="35" xfId="0" applyFont="1" applyFill="1" applyBorder="1" applyAlignment="1">
      <alignment wrapText="1"/>
    </xf>
    <xf numFmtId="14" fontId="25" fillId="17" borderId="35" xfId="0" applyNumberFormat="1" applyFont="1" applyFill="1" applyBorder="1" applyAlignment="1">
      <alignment wrapText="1"/>
    </xf>
    <xf numFmtId="0" fontId="3" fillId="21" borderId="1" xfId="0" applyFont="1" applyFill="1" applyBorder="1" applyAlignment="1">
      <alignment wrapText="1"/>
    </xf>
    <xf numFmtId="0" fontId="3" fillId="22" borderId="1" xfId="0" applyFont="1" applyFill="1" applyBorder="1" applyAlignment="1">
      <alignment wrapText="1"/>
    </xf>
    <xf numFmtId="0" fontId="30" fillId="23" borderId="37" xfId="0" applyFont="1" applyFill="1" applyBorder="1"/>
    <xf numFmtId="0" fontId="30" fillId="23" borderId="38" xfId="0" applyFont="1" applyFill="1" applyBorder="1"/>
    <xf numFmtId="0" fontId="30" fillId="23" borderId="38" xfId="0" applyFont="1" applyFill="1" applyBorder="1" applyAlignment="1">
      <alignment wrapText="1"/>
    </xf>
    <xf numFmtId="0" fontId="31" fillId="0" borderId="0" xfId="0" applyFont="1"/>
    <xf numFmtId="0" fontId="32" fillId="0" borderId="0" xfId="0" applyFont="1"/>
    <xf numFmtId="0" fontId="32" fillId="0" borderId="0" xfId="0" applyFont="1" applyAlignment="1">
      <alignment wrapText="1"/>
    </xf>
    <xf numFmtId="0" fontId="32" fillId="0" borderId="0" xfId="0" quotePrefix="1" applyFont="1"/>
    <xf numFmtId="3" fontId="32" fillId="0" borderId="0" xfId="0" applyNumberFormat="1" applyFont="1"/>
    <xf numFmtId="0" fontId="32" fillId="24" borderId="0" xfId="0" applyFont="1" applyFill="1"/>
    <xf numFmtId="0" fontId="32" fillId="15" borderId="0" xfId="0" applyFont="1" applyFill="1"/>
    <xf numFmtId="0" fontId="32" fillId="25" borderId="0" xfId="0" applyFont="1" applyFill="1"/>
    <xf numFmtId="0" fontId="32" fillId="25" borderId="0" xfId="0" applyFont="1" applyFill="1" applyAlignment="1">
      <alignment wrapText="1"/>
    </xf>
    <xf numFmtId="0" fontId="31" fillId="25" borderId="0" xfId="0" applyFont="1" applyFill="1"/>
    <xf numFmtId="0" fontId="32" fillId="24" borderId="0" xfId="0" applyFont="1" applyFill="1" applyAlignment="1">
      <alignment wrapText="1"/>
    </xf>
    <xf numFmtId="0" fontId="32" fillId="24" borderId="0" xfId="0" quotePrefix="1" applyFont="1" applyFill="1"/>
    <xf numFmtId="0" fontId="31" fillId="24" borderId="0" xfId="0" applyFont="1" applyFill="1"/>
    <xf numFmtId="3" fontId="32" fillId="24" borderId="0" xfId="0" applyNumberFormat="1" applyFont="1" applyFill="1"/>
    <xf numFmtId="0" fontId="32" fillId="26" borderId="0" xfId="0" applyFont="1" applyFill="1"/>
    <xf numFmtId="0" fontId="32" fillId="26" borderId="0" xfId="0" applyFont="1" applyFill="1" applyAlignment="1">
      <alignment wrapText="1"/>
    </xf>
    <xf numFmtId="3" fontId="32" fillId="26" borderId="0" xfId="0" applyNumberFormat="1" applyFont="1" applyFill="1"/>
    <xf numFmtId="0" fontId="31" fillId="26" borderId="0" xfId="0" applyFont="1" applyFill="1"/>
    <xf numFmtId="0" fontId="0" fillId="26" borderId="0" xfId="0" applyFill="1"/>
    <xf numFmtId="0" fontId="32" fillId="21" borderId="0" xfId="0" applyFont="1" applyFill="1"/>
    <xf numFmtId="0" fontId="32" fillId="21" borderId="0" xfId="0" applyFont="1" applyFill="1" applyAlignment="1">
      <alignment wrapText="1"/>
    </xf>
    <xf numFmtId="0" fontId="31" fillId="21" borderId="0" xfId="0" applyFont="1" applyFill="1"/>
    <xf numFmtId="0" fontId="0" fillId="21" borderId="0" xfId="0" applyFill="1"/>
    <xf numFmtId="0" fontId="32" fillId="27" borderId="0" xfId="0" applyFont="1" applyFill="1"/>
    <xf numFmtId="0" fontId="32" fillId="27" borderId="0" xfId="0" applyFont="1" applyFill="1" applyAlignment="1">
      <alignment wrapText="1"/>
    </xf>
    <xf numFmtId="0" fontId="31" fillId="27" borderId="0" xfId="0" applyFont="1" applyFill="1"/>
    <xf numFmtId="0" fontId="0" fillId="27" borderId="0" xfId="0" applyFill="1"/>
    <xf numFmtId="3" fontId="32" fillId="21" borderId="0" xfId="0" applyNumberFormat="1" applyFont="1" applyFill="1"/>
    <xf numFmtId="0" fontId="32" fillId="14" borderId="0" xfId="0" applyFont="1" applyFill="1"/>
    <xf numFmtId="0" fontId="15" fillId="0" borderId="39" xfId="0" applyFont="1" applyBorder="1"/>
    <xf numFmtId="0" fontId="15" fillId="0" borderId="39" xfId="0" applyFont="1" applyBorder="1" applyAlignment="1">
      <alignment wrapText="1"/>
    </xf>
    <xf numFmtId="0" fontId="13" fillId="0" borderId="39" xfId="0" applyFont="1" applyBorder="1"/>
    <xf numFmtId="22" fontId="15" fillId="0" borderId="39" xfId="0" applyNumberFormat="1" applyFont="1" applyBorder="1" applyAlignment="1">
      <alignment wrapText="1"/>
    </xf>
    <xf numFmtId="0" fontId="33" fillId="28" borderId="40" xfId="0" applyFont="1" applyFill="1" applyBorder="1" applyAlignment="1">
      <alignment wrapText="1"/>
    </xf>
    <xf numFmtId="43" fontId="13" fillId="0" borderId="39" xfId="0" applyNumberFormat="1" applyFont="1" applyBorder="1" applyAlignment="1">
      <alignment horizontal="left"/>
    </xf>
    <xf numFmtId="43" fontId="13" fillId="0" borderId="39" xfId="0" applyNumberFormat="1" applyFont="1" applyBorder="1"/>
    <xf numFmtId="49" fontId="13" fillId="0" borderId="39" xfId="0" applyNumberFormat="1" applyFont="1" applyBorder="1"/>
    <xf numFmtId="1" fontId="13" fillId="0" borderId="39" xfId="0" applyNumberFormat="1" applyFont="1" applyBorder="1" applyAlignment="1">
      <alignment horizontal="left"/>
    </xf>
    <xf numFmtId="0" fontId="15" fillId="14" borderId="39" xfId="0" applyFont="1" applyFill="1" applyBorder="1"/>
    <xf numFmtId="0" fontId="15" fillId="14" borderId="39" xfId="0" applyFont="1" applyFill="1" applyBorder="1" applyAlignment="1">
      <alignment wrapText="1"/>
    </xf>
    <xf numFmtId="1" fontId="13" fillId="14" borderId="39" xfId="0" applyNumberFormat="1" applyFont="1" applyFill="1" applyBorder="1" applyAlignment="1">
      <alignment horizontal="left"/>
    </xf>
    <xf numFmtId="0" fontId="13" fillId="14" borderId="39" xfId="0" applyFont="1" applyFill="1" applyBorder="1"/>
    <xf numFmtId="22" fontId="15" fillId="14" borderId="39" xfId="0" applyNumberFormat="1" applyFont="1" applyFill="1" applyBorder="1" applyAlignment="1">
      <alignment wrapText="1"/>
    </xf>
    <xf numFmtId="0" fontId="0" fillId="14" borderId="0" xfId="0" applyFill="1"/>
    <xf numFmtId="49" fontId="13" fillId="14" borderId="39" xfId="0" applyNumberFormat="1" applyFont="1" applyFill="1" applyBorder="1"/>
    <xf numFmtId="43" fontId="13" fillId="14" borderId="39" xfId="0" applyNumberFormat="1" applyFont="1" applyFill="1" applyBorder="1"/>
    <xf numFmtId="0" fontId="27" fillId="29" borderId="41" xfId="0" applyFont="1" applyFill="1" applyBorder="1"/>
    <xf numFmtId="0" fontId="27" fillId="29" borderId="1" xfId="0" applyFont="1" applyFill="1" applyBorder="1"/>
    <xf numFmtId="3" fontId="27" fillId="29" borderId="1" xfId="0" applyNumberFormat="1" applyFont="1" applyFill="1" applyBorder="1"/>
    <xf numFmtId="0" fontId="27" fillId="0" borderId="41" xfId="0" applyFont="1" applyBorder="1"/>
    <xf numFmtId="0" fontId="27" fillId="0" borderId="1" xfId="0" applyFont="1" applyBorder="1"/>
    <xf numFmtId="3" fontId="27" fillId="0" borderId="1" xfId="0" applyNumberFormat="1" applyFont="1" applyBorder="1"/>
    <xf numFmtId="3" fontId="27" fillId="29" borderId="1" xfId="0" applyNumberFormat="1" applyFont="1" applyFill="1" applyBorder="1" applyAlignment="1">
      <alignment wrapText="1"/>
    </xf>
    <xf numFmtId="0" fontId="4" fillId="0" borderId="39" xfId="0" applyFont="1" applyBorder="1" applyAlignment="1">
      <alignment wrapText="1"/>
    </xf>
    <xf numFmtId="49" fontId="4" fillId="0" borderId="39" xfId="0" applyNumberFormat="1" applyFont="1" applyBorder="1" applyAlignment="1">
      <alignment wrapText="1"/>
    </xf>
    <xf numFmtId="49" fontId="0" fillId="0" borderId="0" xfId="0" applyNumberFormat="1"/>
    <xf numFmtId="0" fontId="4" fillId="30" borderId="39" xfId="0" applyFont="1" applyFill="1" applyBorder="1"/>
    <xf numFmtId="0" fontId="0" fillId="0" borderId="0" xfId="0" applyAlignment="1">
      <alignment horizontal="right"/>
    </xf>
    <xf numFmtId="0" fontId="10" fillId="0" borderId="43" xfId="0" applyFont="1" applyBorder="1"/>
    <xf numFmtId="0" fontId="10" fillId="0" borderId="44" xfId="0" applyFont="1" applyBorder="1"/>
    <xf numFmtId="0" fontId="10" fillId="0" borderId="44" xfId="0" applyFont="1" applyBorder="1" applyAlignment="1">
      <alignment horizontal="right"/>
    </xf>
    <xf numFmtId="0" fontId="10" fillId="31" borderId="43" xfId="0" applyFont="1" applyFill="1" applyBorder="1"/>
    <xf numFmtId="0" fontId="10" fillId="31" borderId="44" xfId="0" applyFont="1" applyFill="1" applyBorder="1"/>
    <xf numFmtId="0" fontId="10" fillId="31" borderId="44" xfId="0" applyFont="1" applyFill="1" applyBorder="1" applyAlignment="1">
      <alignment horizontal="right"/>
    </xf>
    <xf numFmtId="0" fontId="21" fillId="0" borderId="0" xfId="0" applyFont="1"/>
    <xf numFmtId="14" fontId="21" fillId="0" borderId="0" xfId="0" applyNumberFormat="1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1" fillId="12" borderId="11" xfId="0" applyFont="1" applyFill="1" applyBorder="1" applyAlignment="1">
      <alignment horizontal="center"/>
    </xf>
    <xf numFmtId="0" fontId="11" fillId="12" borderId="12" xfId="0" applyFont="1" applyFill="1" applyBorder="1" applyAlignment="1">
      <alignment horizontal="center"/>
    </xf>
    <xf numFmtId="0" fontId="11" fillId="12" borderId="31" xfId="0" applyFont="1" applyFill="1" applyBorder="1" applyAlignment="1">
      <alignment horizontal="center"/>
    </xf>
    <xf numFmtId="0" fontId="11" fillId="12" borderId="32" xfId="0" applyFont="1" applyFill="1" applyBorder="1" applyAlignment="1">
      <alignment horizontal="center"/>
    </xf>
    <xf numFmtId="0" fontId="11" fillId="12" borderId="33" xfId="0" applyFont="1" applyFill="1" applyBorder="1" applyAlignment="1">
      <alignment horizontal="center"/>
    </xf>
    <xf numFmtId="0" fontId="11" fillId="12" borderId="31" xfId="0" applyFont="1" applyFill="1" applyBorder="1" applyAlignment="1">
      <alignment horizontal="center" vertical="center"/>
    </xf>
    <xf numFmtId="0" fontId="11" fillId="12" borderId="32" xfId="0" applyFont="1" applyFill="1" applyBorder="1" applyAlignment="1">
      <alignment horizontal="center" vertical="center"/>
    </xf>
    <xf numFmtId="0" fontId="11" fillId="12" borderId="33" xfId="0" applyFont="1" applyFill="1" applyBorder="1" applyAlignment="1">
      <alignment horizontal="center" vertical="center"/>
    </xf>
    <xf numFmtId="0" fontId="34" fillId="0" borderId="42" xfId="1" applyFill="1" applyAlignment="1">
      <alignment horizontal="center"/>
    </xf>
    <xf numFmtId="0" fontId="12" fillId="0" borderId="12" xfId="0" applyFont="1" applyBorder="1" applyAlignment="1"/>
    <xf numFmtId="0" fontId="12" fillId="0" borderId="13" xfId="0" applyFont="1" applyBorder="1" applyAlignment="1"/>
  </cellXfs>
  <cellStyles count="2">
    <cellStyle name="Encabezado 1" xfId="1" builtinId="16"/>
    <cellStyle name="Normal" xfId="0" builtinId="0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7" formatCode="dd/mm/yyyy\ h:mm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472C4"/>
          <bgColor rgb="FF4472C4"/>
        </patternFill>
      </fill>
      <alignment horizontal="general" vertical="bottom" textRotation="0" wrapText="1" indent="0" justifyLastLine="0" shrinkToFit="0" readingOrder="0"/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ont>
        <color rgb="FFF6F8F9"/>
      </font>
      <fill>
        <patternFill patternType="solid">
          <fgColor theme="7"/>
          <bgColor theme="7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HUB´S-style" pivot="0" count="3" xr9:uid="{00000000-0011-0000-FFFF-FFFF00000000}">
      <tableStyleElement type="headerRow" dxfId="85"/>
      <tableStyleElement type="firstRowStripe" dxfId="84"/>
      <tableStyleElement type="secondRowStripe" dxfId="83"/>
    </tableStyle>
    <tableStyle name="MIGRACION SAN MARTIN OBISPO-style" pivot="0" count="3" xr9:uid="{00000000-0011-0000-FFFF-FFFF01000000}">
      <tableStyleElement type="headerRow" dxfId="82"/>
      <tableStyleElement type="firstRowStripe" dxfId="81"/>
      <tableStyleElement type="secondRowStripe" dxfId="8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Fernando" id="{9EBE50A9-7CF4-485B-B2EB-97D082E8DC62}">
    <nsvFilter filterId="{00000000-0001-0000-0000-000000000000}" ref="A1:X358" tableId="0">
      <columnFilter colId="1">
        <filter colId="1">
          <x:filters>
            <x:filter val="APSA SA DE CV"/>
          </x:filters>
        </filter>
      </columnFilter>
      <columnFilter colId="2">
        <filter colId="2">
          <x:filters>
            <x:filter val="Fernando Zarate"/>
          </x:filters>
        </filter>
      </columnFilter>
      <columnFilter colId="20">
        <filter colId="20">
          <x:filters>
            <x:filter val="ENTREGADO"/>
          </x:filters>
        </filter>
      </columnFilter>
      <sortRules>
        <sortRule colId="20">
          <sortCondition descending="1" ref="U1:U358"/>
        </sortRule>
      </sortRules>
    </nsvFilter>
  </namedSheetView>
  <namedSheetView name="MISAEL" id="{3FFD9151-664D-4C6F-87FC-3A66C7206D13}">
    <nsvFilter filterId="{00000000-0001-0000-0000-000000000000}" ref="A1:X358" tableId="0">
      <columnFilter colId="2">
        <filter colId="2">
          <x:filters blank="1">
            <x:filter val="Misael Hernandez"/>
          </x:filters>
        </filter>
      </columnFilter>
      <columnFilter colId="19">
        <filter colId="19">
          <x:filters>
            <x:filter val="EN PROCESO"/>
          </x:filters>
        </filter>
      </columnFilter>
    </nsvFilter>
  </namedSheetView>
  <namedSheetView name="Valente" id="{4A318981-0B23-417F-91CA-62EEF40AF542}">
    <nsvFilter filterId="{00000000-0001-0000-0000-000000000000}" ref="A1:X358" tableId="0">
      <columnFilter colId="2">
        <filter colId="2">
          <x:filters>
            <x:filter val="Valente Ruiz"/>
          </x:filters>
        </filter>
      </columnFilter>
      <columnFilter colId="19">
        <filter colId="19">
          <x:filters blank="1">
            <x:filter val="EN PROCESO"/>
            <x:filter val="PROCESO DE CANCELACION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C965C4-591D-404E-9575-7DCBFDCC9317}" name="Tabla3" displayName="Tabla3" ref="A1:AB45" totalsRowShown="0" headerRowDxfId="32" dataDxfId="31" headerRowBorderDxfId="29" tableBorderDxfId="30" totalsRowBorderDxfId="28">
  <autoFilter ref="A1:AB45" xr:uid="{D0C965C4-591D-404E-9575-7DCBFDCC9317}"/>
  <tableColumns count="28">
    <tableColumn id="1" xr3:uid="{D9D4D3B4-BCB1-48CE-919A-4198AD3EC0DD}" name="ESTATUS" dataDxfId="27"/>
    <tableColumn id="2" xr3:uid="{FB91A58A-917A-463C-88EA-0033474C1B7C}" name="# ACTIVO" dataDxfId="26"/>
    <tableColumn id="3" xr3:uid="{CA60B97D-036E-455A-A6E6-6E106E6FDDFA}" name="ETIQUETA MEGA" dataDxfId="25"/>
    <tableColumn id="4" xr3:uid="{AD3FFF9C-5B24-44EE-8C99-770C8B58CB3B}" name="ELEMENTO DE RED" dataDxfId="24"/>
    <tableColumn id="5" xr3:uid="{013B4D88-D37E-47B3-B320-BD55683771D2}" name="SUBTIPO" dataDxfId="23"/>
    <tableColumn id="6" xr3:uid="{0397BC1E-8E4D-466A-910B-26C55F2ED0F9}" name="# SERIE" dataDxfId="22"/>
    <tableColumn id="7" xr3:uid="{01BE6205-768A-404F-80F7-EFA52C47B714}" name="MARCA" dataDxfId="21"/>
    <tableColumn id="8" xr3:uid="{B51275F1-0499-490D-AA79-6FC62C245822}" name="MODELO" dataDxfId="20"/>
    <tableColumn id="9" xr3:uid="{C0C58ECB-2CE1-4132-8C11-2D222E860A7B}" name="CODIGO" dataDxfId="19"/>
    <tableColumn id="10" xr3:uid="{F312B5E2-78BF-4679-B62E-57DAEDAA1504}" name="FIN DE SOPORTE" dataDxfId="18"/>
    <tableColumn id="11" xr3:uid="{A6F3322B-5E87-4ECB-82C2-7C372EFFB3F6}" name="APLICATIVO" dataDxfId="17"/>
    <tableColumn id="12" xr3:uid="{E388C831-7229-4B68-A25B-390F6F65A138}" name="SISTEMA OPERATIVO" dataDxfId="16"/>
    <tableColumn id="13" xr3:uid="{E95E0C24-DE76-4CC8-A386-144BFE389CF4}" name="VERSION OPERATIVA" dataDxfId="15"/>
    <tableColumn id="14" xr3:uid="{3D06D700-072E-4605-B86A-B3D17AFF9EFD}" name="IPv4 ADDRESS" dataDxfId="14"/>
    <tableColumn id="15" xr3:uid="{56A95142-9BE1-431A-8FDD-6D44BB6FE8E3}" name="HOSTNAME" dataDxfId="13"/>
    <tableColumn id="16" xr3:uid="{63D52499-9851-46A1-AAC2-C5EF5ADC5DC9}" name="NOMBRE COMÚN" dataDxfId="12"/>
    <tableColumn id="17" xr3:uid="{0CB1F5A1-5E09-4C26-86CA-E9653ED818AC}" name="NO SUCURSAL" dataDxfId="11"/>
    <tableColumn id="18" xr3:uid="{3AFA055A-1BA8-48DF-9D31-BAA6DA256D84}" name="CIUDAD" dataDxfId="10"/>
    <tableColumn id="19" xr3:uid="{A7C55E23-0005-4D12-9274-01C005E19777}" name="REGION" dataDxfId="9"/>
    <tableColumn id="20" xr3:uid="{CA85C4B4-B0CF-4BD6-8D13-B661C05A063F}" name="EMPIEZA RACK" dataDxfId="8"/>
    <tableColumn id="21" xr3:uid="{4FEA56A6-A0B9-47D2-BB5C-00C3A973B995}" name="FILA" dataDxfId="7"/>
    <tableColumn id="22" xr3:uid="{60EC2C30-A340-4AA6-9C9B-43C01D4B8F0E}" name="RACK" dataDxfId="6"/>
    <tableColumn id="23" xr3:uid="{BB8D1C82-20A6-48DC-8E68-14A80C2E0069}" name="POSICION RACK" dataDxfId="5"/>
    <tableColumn id="24" xr3:uid="{D3EF1280-F9DF-4110-B299-09598C61D77F}" name="DEPARTAMENTO" dataDxfId="4"/>
    <tableColumn id="25" xr3:uid="{D091F49A-D281-4F0C-A9AC-9BD7A88258E6}" name="UNIDAD DE NEGOCIO" dataDxfId="3"/>
    <tableColumn id="26" xr3:uid="{2B9CF012-5942-4890-A232-0F0F41A3654E}" name="SITE" dataDxfId="2"/>
    <tableColumn id="27" xr3:uid="{9C7CAB24-A56C-4F37-8EBE-96D7C09AD588}" name="COSTO USD" dataDxfId="1"/>
    <tableColumn id="28" xr3:uid="{1C7C674E-163E-46EB-B567-64C5BF551650}" name="ARE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UB_CDMX" displayName="HUB_CDMX" ref="A1:B62">
  <tableColumns count="2">
    <tableColumn id="1" xr3:uid="{00000000-0010-0000-0000-000001000000}" name="No. HUB"/>
    <tableColumn id="2" xr3:uid="{00000000-0010-0000-0000-000002000000}" name="NOMBRE DEL HUB"/>
  </tableColumns>
  <tableStyleInfo name="HUB´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1" displayName="Tabla_1" ref="A1:L25" headerRowCount="0">
  <tableColumns count="12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</tableColumns>
  <tableStyleInfo name="MIGRACION SAN MARTIN OBISP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FAFC06-9C1D-48CF-B0D0-3D004D87A024}" name="Tabla9" displayName="Tabla9" ref="A2:F24" totalsRowShown="0">
  <autoFilter ref="A2:F24" xr:uid="{EBFAFC06-9C1D-48CF-B0D0-3D004D87A024}"/>
  <tableColumns count="6">
    <tableColumn id="1" xr3:uid="{C3AE3383-7FB7-444F-9D18-786AB8B2323B}" name="TIPO"/>
    <tableColumn id="2" xr3:uid="{6ABA2D41-12CD-43C6-AE82-C630F3FE5F4E}" name="MODELO"/>
    <tableColumn id="3" xr3:uid="{E7296910-00AB-4D31-BECC-05B2F636C361}" name="NUMERO DE SERIE"/>
    <tableColumn id="4" xr3:uid="{5AF025A5-0341-4DB1-9D22-19DE5A22468D}" name="CANTIDAD"/>
    <tableColumn id="5" xr3:uid="{4C77EA17-78F8-409D-B942-1F48519AC204}" name="UBICACION"/>
    <tableColumn id="6" xr3:uid="{9E2026D5-F4B8-4652-971C-5B2E2CB5231A}" name="COMENTARIOS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7A4702A-31A1-4107-AC7A-5AF96D9D6AD6}" name="Tabla911" displayName="Tabla911" ref="H2:M47" totalsRowShown="0">
  <autoFilter ref="H2:M47" xr:uid="{37A4702A-31A1-4107-AC7A-5AF96D9D6AD6}"/>
  <tableColumns count="6">
    <tableColumn id="1" xr3:uid="{94F4E9AD-EF59-4AD3-9B66-AFDF0F2D025E}" name="TIPO"/>
    <tableColumn id="2" xr3:uid="{A4A0F571-4261-4A8F-9551-12D11FBB6325}" name="MODELO"/>
    <tableColumn id="3" xr3:uid="{DB2EDCC4-A647-4622-9BE1-39A9D70FC7AC}" name="NUMERO DE SERIE"/>
    <tableColumn id="4" xr3:uid="{56D0AED0-4DEC-40BE-8871-811E63CAA2DA}" name="CANTIDAD"/>
    <tableColumn id="5" xr3:uid="{598BFAA3-110B-45E5-9B7A-4C2CEDE5234A}" name="UBICACION"/>
    <tableColumn id="8" xr3:uid="{D0DD93A6-983B-4933-83EA-D087228EDD66}" name="COMENTARIOS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50B9D4-2B0D-4F3F-9C0C-527FE919173C}" name="Tabla91112" displayName="Tabla91112" ref="O2:T23" totalsRowShown="0">
  <autoFilter ref="O2:T23" xr:uid="{3250B9D4-2B0D-4F3F-9C0C-527FE919173C}"/>
  <tableColumns count="6">
    <tableColumn id="1" xr3:uid="{2B9DE47B-27A3-41AC-90C5-20831ED4C2C5}" name="TIPO"/>
    <tableColumn id="2" xr3:uid="{012DEE5A-C9B2-4083-8310-60E10FB3C348}" name="MODELO"/>
    <tableColumn id="3" xr3:uid="{DA0909EB-13C2-4F5A-B739-D51F7F5CE1AE}" name="NUMERO DE SERIE"/>
    <tableColumn id="4" xr3:uid="{FF20E7AF-9EB5-41CA-B197-05B564395BBE}" name="CANTIDAD"/>
    <tableColumn id="5" xr3:uid="{8B3C2BCA-C089-4494-8A29-41455EDA9F51}" name="UBICACION"/>
    <tableColumn id="6" xr3:uid="{0C5F4D41-AC9D-4EB3-9CDF-2834F1E6C463}" name="COMENTARIO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B1048563"/>
  <sheetViews>
    <sheetView tabSelected="1" workbookViewId="0">
      <pane xSplit="4" topLeftCell="Q1" activePane="topRight" state="frozen"/>
      <selection pane="topRight" sqref="A1:U358"/>
    </sheetView>
  </sheetViews>
  <sheetFormatPr defaultColWidth="12.5703125" defaultRowHeight="12.75"/>
  <cols>
    <col min="1" max="1" width="9.7109375" style="73" customWidth="1"/>
    <col min="2" max="2" width="31.85546875" style="73" customWidth="1"/>
    <col min="3" max="3" width="15.140625" style="73" customWidth="1"/>
    <col min="4" max="4" width="33.42578125" style="73" customWidth="1"/>
    <col min="5" max="5" width="11" style="73" customWidth="1"/>
    <col min="6" max="6" width="10.42578125" style="73" customWidth="1"/>
    <col min="7" max="9" width="10.5703125" style="73" customWidth="1"/>
    <col min="10" max="10" width="17.5703125" style="73" customWidth="1"/>
    <col min="11" max="21" width="14.42578125" style="73" customWidth="1"/>
    <col min="22" max="22" width="17.42578125" style="73" customWidth="1"/>
    <col min="23" max="23" width="23.42578125" style="103" customWidth="1"/>
    <col min="24" max="24" width="67.28515625" style="103" customWidth="1"/>
    <col min="25" max="16384" width="12.5703125" style="73"/>
  </cols>
  <sheetData>
    <row r="1" spans="1:24" ht="33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14" t="s">
        <v>20</v>
      </c>
      <c r="V1" s="3" t="s">
        <v>21</v>
      </c>
      <c r="W1" s="101" t="s">
        <v>22</v>
      </c>
      <c r="X1" s="101" t="s">
        <v>23</v>
      </c>
    </row>
    <row r="2" spans="1:24" hidden="1">
      <c r="A2" s="5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7">
        <v>45454</v>
      </c>
      <c r="G2" s="74">
        <v>45482</v>
      </c>
      <c r="H2" s="74"/>
      <c r="I2" s="74"/>
      <c r="J2" s="75">
        <f t="shared" ref="J2:J141" ca="1" si="0">NETWORKDAYS(F2,TODAY())</f>
        <v>476</v>
      </c>
      <c r="K2" s="76" t="str">
        <f t="shared" ref="K2:K107" ca="1" si="1">IF(J2&lt;31,"Menor a 30 días",IF(J2&lt;60,"Entre 30 y 60 días","Mayor a 60 días"))</f>
        <v>Mayor a 60 días</v>
      </c>
      <c r="L2" s="77" t="s">
        <v>29</v>
      </c>
      <c r="M2" s="77" t="s">
        <v>29</v>
      </c>
      <c r="N2" s="77" t="s">
        <v>30</v>
      </c>
      <c r="O2" s="78" t="s">
        <v>31</v>
      </c>
      <c r="P2" s="78" t="s">
        <v>29</v>
      </c>
      <c r="Q2" s="78" t="s">
        <v>32</v>
      </c>
      <c r="R2" s="78" t="s">
        <v>30</v>
      </c>
      <c r="S2" s="78" t="s">
        <v>33</v>
      </c>
      <c r="T2" s="77" t="s">
        <v>34</v>
      </c>
      <c r="U2" s="9" t="s">
        <v>35</v>
      </c>
      <c r="V2" s="9" t="s">
        <v>36</v>
      </c>
      <c r="W2" s="9" t="s">
        <v>1</v>
      </c>
      <c r="X2" s="9"/>
    </row>
    <row r="3" spans="1:24" hidden="1">
      <c r="A3" s="5" t="s">
        <v>37</v>
      </c>
      <c r="B3" s="6" t="s">
        <v>38</v>
      </c>
      <c r="C3" s="6" t="s">
        <v>26</v>
      </c>
      <c r="D3" s="6" t="s">
        <v>39</v>
      </c>
      <c r="E3" s="6" t="s">
        <v>30</v>
      </c>
      <c r="F3" s="7">
        <v>45469</v>
      </c>
      <c r="G3" s="74">
        <v>45497</v>
      </c>
      <c r="H3" s="74"/>
      <c r="I3" s="74"/>
      <c r="J3" s="75">
        <f t="shared" ca="1" si="0"/>
        <v>465</v>
      </c>
      <c r="K3" s="76" t="str">
        <f t="shared" ca="1" si="1"/>
        <v>Mayor a 60 días</v>
      </c>
      <c r="L3" s="78" t="s">
        <v>30</v>
      </c>
      <c r="M3" s="77" t="s">
        <v>30</v>
      </c>
      <c r="N3" s="77" t="s">
        <v>30</v>
      </c>
      <c r="O3" s="78" t="s">
        <v>31</v>
      </c>
      <c r="P3" s="78" t="s">
        <v>29</v>
      </c>
      <c r="Q3" s="78" t="s">
        <v>32</v>
      </c>
      <c r="R3" s="78" t="s">
        <v>30</v>
      </c>
      <c r="S3" s="78" t="s">
        <v>33</v>
      </c>
      <c r="T3" s="77" t="s">
        <v>34</v>
      </c>
      <c r="U3" s="9" t="s">
        <v>35</v>
      </c>
      <c r="V3" s="9" t="s">
        <v>40</v>
      </c>
      <c r="W3" s="9" t="s">
        <v>40</v>
      </c>
      <c r="X3" s="9"/>
    </row>
    <row r="4" spans="1:24" hidden="1">
      <c r="A4" s="5" t="s">
        <v>41</v>
      </c>
      <c r="B4" s="6" t="s">
        <v>38</v>
      </c>
      <c r="C4" s="6" t="s">
        <v>26</v>
      </c>
      <c r="D4" s="6" t="s">
        <v>42</v>
      </c>
      <c r="E4" s="6" t="s">
        <v>30</v>
      </c>
      <c r="F4" s="7">
        <v>45469</v>
      </c>
      <c r="G4" s="74">
        <v>45497</v>
      </c>
      <c r="H4" s="74"/>
      <c r="I4" s="74"/>
      <c r="J4" s="75">
        <f t="shared" ca="1" si="0"/>
        <v>465</v>
      </c>
      <c r="K4" s="76" t="str">
        <f t="shared" ca="1" si="1"/>
        <v>Mayor a 60 días</v>
      </c>
      <c r="L4" s="78" t="s">
        <v>30</v>
      </c>
      <c r="M4" s="77" t="s">
        <v>30</v>
      </c>
      <c r="N4" s="77" t="s">
        <v>30</v>
      </c>
      <c r="O4" s="77" t="s">
        <v>31</v>
      </c>
      <c r="P4" s="77" t="s">
        <v>29</v>
      </c>
      <c r="Q4" s="77" t="s">
        <v>32</v>
      </c>
      <c r="R4" s="78" t="s">
        <v>30</v>
      </c>
      <c r="S4" s="78" t="s">
        <v>33</v>
      </c>
      <c r="T4" s="77" t="s">
        <v>34</v>
      </c>
      <c r="U4" s="9" t="s">
        <v>35</v>
      </c>
      <c r="V4" s="9" t="s">
        <v>40</v>
      </c>
      <c r="W4" s="9" t="s">
        <v>40</v>
      </c>
      <c r="X4" s="9" t="s">
        <v>43</v>
      </c>
    </row>
    <row r="5" spans="1:24" hidden="1">
      <c r="A5" s="5" t="s">
        <v>44</v>
      </c>
      <c r="B5" s="6" t="s">
        <v>45</v>
      </c>
      <c r="C5" s="6" t="s">
        <v>26</v>
      </c>
      <c r="D5" s="6" t="s">
        <v>46</v>
      </c>
      <c r="E5" s="6" t="s">
        <v>47</v>
      </c>
      <c r="F5" s="7">
        <v>45471</v>
      </c>
      <c r="G5" s="74">
        <v>45512</v>
      </c>
      <c r="H5" s="74"/>
      <c r="I5" s="74"/>
      <c r="J5" s="75">
        <f t="shared" ca="1" si="0"/>
        <v>463</v>
      </c>
      <c r="K5" s="76" t="str">
        <f t="shared" ca="1" si="1"/>
        <v>Mayor a 60 días</v>
      </c>
      <c r="L5" s="78" t="s">
        <v>29</v>
      </c>
      <c r="M5" s="77" t="s">
        <v>30</v>
      </c>
      <c r="N5" s="77" t="s">
        <v>30</v>
      </c>
      <c r="O5" s="78" t="s">
        <v>31</v>
      </c>
      <c r="P5" s="78" t="s">
        <v>29</v>
      </c>
      <c r="Q5" s="78" t="s">
        <v>32</v>
      </c>
      <c r="R5" s="77" t="s">
        <v>48</v>
      </c>
      <c r="S5" s="77" t="s">
        <v>33</v>
      </c>
      <c r="T5" s="77" t="s">
        <v>34</v>
      </c>
      <c r="U5" s="9" t="s">
        <v>35</v>
      </c>
      <c r="V5" s="9" t="s">
        <v>49</v>
      </c>
      <c r="W5" s="9" t="s">
        <v>50</v>
      </c>
      <c r="X5" s="9" t="s">
        <v>51</v>
      </c>
    </row>
    <row r="6" spans="1:24" hidden="1">
      <c r="A6" s="5" t="s">
        <v>52</v>
      </c>
      <c r="B6" s="6" t="s">
        <v>53</v>
      </c>
      <c r="C6" s="6" t="s">
        <v>26</v>
      </c>
      <c r="D6" s="6" t="s">
        <v>54</v>
      </c>
      <c r="E6" s="6" t="s">
        <v>55</v>
      </c>
      <c r="F6" s="7">
        <v>45474</v>
      </c>
      <c r="G6" s="74">
        <v>45513</v>
      </c>
      <c r="H6" s="74"/>
      <c r="I6" s="74"/>
      <c r="J6" s="75">
        <f t="shared" ca="1" si="0"/>
        <v>462</v>
      </c>
      <c r="K6" s="76" t="str">
        <f t="shared" ca="1" si="1"/>
        <v>Mayor a 60 días</v>
      </c>
      <c r="L6" s="77" t="s">
        <v>29</v>
      </c>
      <c r="M6" s="77" t="s">
        <v>30</v>
      </c>
      <c r="N6" s="77" t="s">
        <v>30</v>
      </c>
      <c r="O6" s="78" t="s">
        <v>31</v>
      </c>
      <c r="P6" s="77" t="s">
        <v>29</v>
      </c>
      <c r="Q6" s="77" t="s">
        <v>32</v>
      </c>
      <c r="R6" s="77" t="s">
        <v>30</v>
      </c>
      <c r="S6" s="77" t="s">
        <v>33</v>
      </c>
      <c r="T6" s="77" t="s">
        <v>34</v>
      </c>
      <c r="U6" s="9" t="s">
        <v>35</v>
      </c>
      <c r="V6" s="9" t="s">
        <v>36</v>
      </c>
      <c r="W6" s="9" t="s">
        <v>1</v>
      </c>
      <c r="X6" s="9"/>
    </row>
    <row r="7" spans="1:24" hidden="1">
      <c r="A7" s="5" t="s">
        <v>56</v>
      </c>
      <c r="B7" s="6" t="s">
        <v>57</v>
      </c>
      <c r="C7" s="6" t="s">
        <v>58</v>
      </c>
      <c r="D7" s="6" t="s">
        <v>59</v>
      </c>
      <c r="E7" s="6" t="s">
        <v>30</v>
      </c>
      <c r="F7" s="7">
        <v>45483</v>
      </c>
      <c r="G7" s="74">
        <v>45512</v>
      </c>
      <c r="H7" s="74"/>
      <c r="I7" s="74"/>
      <c r="J7" s="79">
        <f t="shared" ca="1" si="0"/>
        <v>455</v>
      </c>
      <c r="K7" s="80" t="str">
        <f t="shared" ca="1" si="1"/>
        <v>Mayor a 60 días</v>
      </c>
      <c r="L7" s="78" t="s">
        <v>30</v>
      </c>
      <c r="M7" s="77" t="s">
        <v>30</v>
      </c>
      <c r="N7" s="77" t="s">
        <v>30</v>
      </c>
      <c r="O7" s="78" t="s">
        <v>30</v>
      </c>
      <c r="P7" s="78" t="s">
        <v>30</v>
      </c>
      <c r="Q7" s="78" t="s">
        <v>30</v>
      </c>
      <c r="R7" s="78" t="s">
        <v>30</v>
      </c>
      <c r="S7" s="78" t="s">
        <v>33</v>
      </c>
      <c r="T7" s="77" t="s">
        <v>60</v>
      </c>
      <c r="U7" s="9" t="s">
        <v>60</v>
      </c>
      <c r="V7" s="9"/>
      <c r="W7" s="9"/>
      <c r="X7" s="9" t="s">
        <v>61</v>
      </c>
    </row>
    <row r="8" spans="1:24" hidden="1">
      <c r="A8" s="5" t="s">
        <v>62</v>
      </c>
      <c r="B8" s="6" t="s">
        <v>63</v>
      </c>
      <c r="C8" s="6" t="s">
        <v>26</v>
      </c>
      <c r="D8" s="6" t="s">
        <v>64</v>
      </c>
      <c r="E8" s="6" t="s">
        <v>65</v>
      </c>
      <c r="F8" s="7">
        <v>45489</v>
      </c>
      <c r="G8" s="74">
        <v>45530</v>
      </c>
      <c r="H8" s="74"/>
      <c r="I8" s="74"/>
      <c r="J8" s="81">
        <f t="shared" ca="1" si="0"/>
        <v>451</v>
      </c>
      <c r="K8" s="82" t="str">
        <f t="shared" ca="1" si="1"/>
        <v>Mayor a 60 días</v>
      </c>
      <c r="L8" s="78" t="s">
        <v>29</v>
      </c>
      <c r="M8" s="77" t="s">
        <v>29</v>
      </c>
      <c r="N8" s="77" t="s">
        <v>30</v>
      </c>
      <c r="O8" s="77" t="s">
        <v>31</v>
      </c>
      <c r="P8" s="77" t="s">
        <v>29</v>
      </c>
      <c r="Q8" s="78" t="s">
        <v>32</v>
      </c>
      <c r="R8" s="77" t="s">
        <v>30</v>
      </c>
      <c r="S8" s="77" t="s">
        <v>33</v>
      </c>
      <c r="T8" s="77" t="s">
        <v>34</v>
      </c>
      <c r="U8" s="9" t="s">
        <v>35</v>
      </c>
      <c r="V8" s="9" t="s">
        <v>40</v>
      </c>
      <c r="W8" s="9" t="s">
        <v>40</v>
      </c>
      <c r="X8" s="9"/>
    </row>
    <row r="9" spans="1:24" hidden="1">
      <c r="A9" s="5" t="s">
        <v>66</v>
      </c>
      <c r="B9" s="6" t="s">
        <v>67</v>
      </c>
      <c r="C9" s="6" t="s">
        <v>58</v>
      </c>
      <c r="D9" s="6" t="s">
        <v>68</v>
      </c>
      <c r="E9" s="8" t="s">
        <v>69</v>
      </c>
      <c r="F9" s="7">
        <v>45449</v>
      </c>
      <c r="G9" s="74">
        <v>45504</v>
      </c>
      <c r="H9" s="74"/>
      <c r="I9" s="74"/>
      <c r="J9" s="75">
        <f t="shared" ca="1" si="0"/>
        <v>479</v>
      </c>
      <c r="K9" s="76" t="str">
        <f t="shared" ca="1" si="1"/>
        <v>Mayor a 60 días</v>
      </c>
      <c r="L9" s="78" t="s">
        <v>29</v>
      </c>
      <c r="M9" s="77" t="s">
        <v>30</v>
      </c>
      <c r="N9" s="77" t="s">
        <v>30</v>
      </c>
      <c r="O9" s="78" t="s">
        <v>31</v>
      </c>
      <c r="P9" s="78" t="s">
        <v>29</v>
      </c>
      <c r="Q9" s="78" t="s">
        <v>32</v>
      </c>
      <c r="R9" s="78" t="s">
        <v>30</v>
      </c>
      <c r="S9" s="78" t="s">
        <v>33</v>
      </c>
      <c r="T9" s="77" t="s">
        <v>60</v>
      </c>
      <c r="U9" s="9" t="s">
        <v>60</v>
      </c>
      <c r="V9" s="9" t="s">
        <v>70</v>
      </c>
      <c r="W9" s="9" t="s">
        <v>1</v>
      </c>
      <c r="X9" s="9" t="s">
        <v>71</v>
      </c>
    </row>
    <row r="10" spans="1:24" hidden="1">
      <c r="A10" s="5" t="s">
        <v>72</v>
      </c>
      <c r="B10" s="6" t="s">
        <v>73</v>
      </c>
      <c r="C10" s="6" t="s">
        <v>26</v>
      </c>
      <c r="D10" s="6" t="s">
        <v>74</v>
      </c>
      <c r="E10" s="6" t="s">
        <v>75</v>
      </c>
      <c r="F10" s="7">
        <v>45496</v>
      </c>
      <c r="G10" s="74">
        <v>45533</v>
      </c>
      <c r="H10" s="74"/>
      <c r="I10" s="74"/>
      <c r="J10" s="81">
        <f t="shared" ca="1" si="0"/>
        <v>446</v>
      </c>
      <c r="K10" s="82" t="str">
        <f t="shared" ca="1" si="1"/>
        <v>Mayor a 60 días</v>
      </c>
      <c r="L10" s="78" t="s">
        <v>29</v>
      </c>
      <c r="M10" s="77" t="s">
        <v>30</v>
      </c>
      <c r="N10" s="77" t="s">
        <v>30</v>
      </c>
      <c r="O10" s="77" t="s">
        <v>31</v>
      </c>
      <c r="P10" s="77" t="s">
        <v>29</v>
      </c>
      <c r="Q10" s="77" t="s">
        <v>32</v>
      </c>
      <c r="R10" s="77" t="s">
        <v>48</v>
      </c>
      <c r="S10" s="77" t="s">
        <v>33</v>
      </c>
      <c r="T10" s="77" t="s">
        <v>34</v>
      </c>
      <c r="U10" s="9" t="s">
        <v>35</v>
      </c>
      <c r="V10" s="9" t="s">
        <v>40</v>
      </c>
      <c r="W10" s="9" t="s">
        <v>40</v>
      </c>
      <c r="X10" s="9" t="s">
        <v>76</v>
      </c>
    </row>
    <row r="11" spans="1:24" hidden="1">
      <c r="A11" s="5" t="s">
        <v>77</v>
      </c>
      <c r="B11" s="6" t="s">
        <v>78</v>
      </c>
      <c r="C11" s="6" t="s">
        <v>26</v>
      </c>
      <c r="D11" s="6" t="s">
        <v>79</v>
      </c>
      <c r="E11" s="6" t="s">
        <v>30</v>
      </c>
      <c r="F11" s="7">
        <v>45497</v>
      </c>
      <c r="G11" s="74">
        <v>45534</v>
      </c>
      <c r="H11" s="74"/>
      <c r="I11" s="74"/>
      <c r="J11" s="83">
        <f t="shared" ca="1" si="0"/>
        <v>445</v>
      </c>
      <c r="K11" s="82" t="str">
        <f t="shared" ca="1" si="1"/>
        <v>Mayor a 60 días</v>
      </c>
      <c r="L11" s="78" t="s">
        <v>30</v>
      </c>
      <c r="M11" s="77" t="s">
        <v>30</v>
      </c>
      <c r="N11" s="77" t="s">
        <v>30</v>
      </c>
      <c r="O11" s="78" t="s">
        <v>30</v>
      </c>
      <c r="P11" s="78" t="s">
        <v>30</v>
      </c>
      <c r="Q11" s="78" t="s">
        <v>30</v>
      </c>
      <c r="R11" s="78" t="s">
        <v>30</v>
      </c>
      <c r="S11" s="78" t="s">
        <v>30</v>
      </c>
      <c r="T11" s="77" t="s">
        <v>34</v>
      </c>
      <c r="U11" s="9" t="s">
        <v>35</v>
      </c>
      <c r="V11" s="9" t="s">
        <v>49</v>
      </c>
      <c r="W11" s="9" t="s">
        <v>80</v>
      </c>
      <c r="X11" s="9"/>
    </row>
    <row r="12" spans="1:24" hidden="1">
      <c r="A12" s="10" t="s">
        <v>81</v>
      </c>
      <c r="B12" s="11" t="s">
        <v>82</v>
      </c>
      <c r="C12" s="6" t="s">
        <v>26</v>
      </c>
      <c r="D12" s="11" t="s">
        <v>83</v>
      </c>
      <c r="E12" s="11" t="s">
        <v>30</v>
      </c>
      <c r="F12" s="7">
        <v>45497</v>
      </c>
      <c r="G12" s="84">
        <v>45534</v>
      </c>
      <c r="H12" s="84"/>
      <c r="I12" s="84"/>
      <c r="J12" s="83">
        <f t="shared" ca="1" si="0"/>
        <v>445</v>
      </c>
      <c r="K12" s="82" t="str">
        <f t="shared" ca="1" si="1"/>
        <v>Mayor a 60 días</v>
      </c>
      <c r="L12" s="78" t="s">
        <v>30</v>
      </c>
      <c r="M12" s="77" t="s">
        <v>30</v>
      </c>
      <c r="N12" s="77" t="s">
        <v>30</v>
      </c>
      <c r="O12" s="78" t="s">
        <v>30</v>
      </c>
      <c r="P12" s="78" t="s">
        <v>30</v>
      </c>
      <c r="Q12" s="78" t="s">
        <v>30</v>
      </c>
      <c r="R12" s="78" t="s">
        <v>30</v>
      </c>
      <c r="S12" s="78" t="s">
        <v>30</v>
      </c>
      <c r="T12" s="77" t="s">
        <v>34</v>
      </c>
      <c r="U12" s="9" t="s">
        <v>35</v>
      </c>
      <c r="V12" s="9" t="s">
        <v>49</v>
      </c>
      <c r="W12" s="9" t="s">
        <v>80</v>
      </c>
      <c r="X12" s="9"/>
    </row>
    <row r="13" spans="1:24" hidden="1">
      <c r="A13" s="10" t="s">
        <v>84</v>
      </c>
      <c r="B13" s="11" t="s">
        <v>82</v>
      </c>
      <c r="C13" s="6" t="s">
        <v>26</v>
      </c>
      <c r="D13" s="11" t="s">
        <v>39</v>
      </c>
      <c r="E13" s="11" t="s">
        <v>30</v>
      </c>
      <c r="F13" s="7">
        <v>45497</v>
      </c>
      <c r="G13" s="84">
        <v>45534</v>
      </c>
      <c r="H13" s="84"/>
      <c r="I13" s="84"/>
      <c r="J13" s="83">
        <f t="shared" ca="1" si="0"/>
        <v>445</v>
      </c>
      <c r="K13" s="82" t="str">
        <f t="shared" ca="1" si="1"/>
        <v>Mayor a 60 días</v>
      </c>
      <c r="L13" s="78" t="s">
        <v>30</v>
      </c>
      <c r="M13" s="77" t="s">
        <v>30</v>
      </c>
      <c r="N13" s="77" t="s">
        <v>30</v>
      </c>
      <c r="O13" s="78" t="s">
        <v>30</v>
      </c>
      <c r="P13" s="78" t="s">
        <v>30</v>
      </c>
      <c r="Q13" s="78" t="s">
        <v>30</v>
      </c>
      <c r="R13" s="78" t="s">
        <v>30</v>
      </c>
      <c r="S13" s="78" t="s">
        <v>30</v>
      </c>
      <c r="T13" s="77" t="s">
        <v>34</v>
      </c>
      <c r="U13" s="9" t="s">
        <v>35</v>
      </c>
      <c r="V13" s="9" t="s">
        <v>49</v>
      </c>
      <c r="W13" s="9" t="s">
        <v>80</v>
      </c>
      <c r="X13" s="9"/>
    </row>
    <row r="14" spans="1:24" hidden="1">
      <c r="A14" s="5" t="s">
        <v>85</v>
      </c>
      <c r="B14" s="6" t="s">
        <v>86</v>
      </c>
      <c r="C14" s="6" t="s">
        <v>26</v>
      </c>
      <c r="D14" s="6" t="s">
        <v>87</v>
      </c>
      <c r="E14" s="6" t="s">
        <v>88</v>
      </c>
      <c r="F14" s="7">
        <v>45499</v>
      </c>
      <c r="G14" s="74">
        <v>45537</v>
      </c>
      <c r="H14" s="74"/>
      <c r="I14" s="74"/>
      <c r="J14" s="83">
        <f t="shared" ca="1" si="0"/>
        <v>443</v>
      </c>
      <c r="K14" s="82" t="str">
        <f t="shared" ca="1" si="1"/>
        <v>Mayor a 60 días</v>
      </c>
      <c r="L14" s="78" t="s">
        <v>29</v>
      </c>
      <c r="M14" s="77" t="s">
        <v>30</v>
      </c>
      <c r="N14" s="77" t="s">
        <v>30</v>
      </c>
      <c r="O14" s="77" t="s">
        <v>31</v>
      </c>
      <c r="P14" s="77" t="s">
        <v>29</v>
      </c>
      <c r="Q14" s="77" t="s">
        <v>32</v>
      </c>
      <c r="R14" s="77" t="s">
        <v>30</v>
      </c>
      <c r="S14" s="77" t="s">
        <v>33</v>
      </c>
      <c r="T14" s="77" t="s">
        <v>34</v>
      </c>
      <c r="U14" s="9" t="s">
        <v>35</v>
      </c>
      <c r="V14" s="9" t="s">
        <v>49</v>
      </c>
      <c r="W14" s="9" t="s">
        <v>50</v>
      </c>
      <c r="X14" s="9"/>
    </row>
    <row r="15" spans="1:24" hidden="1">
      <c r="A15" s="5" t="s">
        <v>89</v>
      </c>
      <c r="B15" s="6" t="s">
        <v>90</v>
      </c>
      <c r="C15" s="6" t="s">
        <v>26</v>
      </c>
      <c r="D15" s="6" t="s">
        <v>91</v>
      </c>
      <c r="E15" s="6" t="s">
        <v>92</v>
      </c>
      <c r="F15" s="7">
        <v>45499</v>
      </c>
      <c r="G15" s="74">
        <v>45537</v>
      </c>
      <c r="H15" s="74"/>
      <c r="I15" s="74"/>
      <c r="J15" s="83">
        <f t="shared" ca="1" si="0"/>
        <v>443</v>
      </c>
      <c r="K15" s="82" t="str">
        <f t="shared" ca="1" si="1"/>
        <v>Mayor a 60 días</v>
      </c>
      <c r="L15" s="78" t="s">
        <v>29</v>
      </c>
      <c r="M15" s="77" t="s">
        <v>30</v>
      </c>
      <c r="N15" s="77" t="s">
        <v>30</v>
      </c>
      <c r="O15" s="78" t="s">
        <v>31</v>
      </c>
      <c r="P15" s="78" t="s">
        <v>93</v>
      </c>
      <c r="Q15" s="77" t="s">
        <v>32</v>
      </c>
      <c r="R15" s="78" t="s">
        <v>30</v>
      </c>
      <c r="S15" s="78" t="s">
        <v>33</v>
      </c>
      <c r="T15" s="77" t="s">
        <v>34</v>
      </c>
      <c r="U15" s="9" t="s">
        <v>35</v>
      </c>
      <c r="V15" s="9" t="s">
        <v>49</v>
      </c>
      <c r="W15" s="9" t="s">
        <v>50</v>
      </c>
      <c r="X15" s="9"/>
    </row>
    <row r="16" spans="1:24" hidden="1">
      <c r="A16" s="5" t="s">
        <v>94</v>
      </c>
      <c r="B16" s="6" t="s">
        <v>95</v>
      </c>
      <c r="C16" s="6" t="s">
        <v>26</v>
      </c>
      <c r="D16" s="6" t="s">
        <v>96</v>
      </c>
      <c r="E16" s="6" t="s">
        <v>97</v>
      </c>
      <c r="F16" s="7">
        <v>45499</v>
      </c>
      <c r="G16" s="74">
        <v>45527</v>
      </c>
      <c r="H16" s="74"/>
      <c r="I16" s="74"/>
      <c r="J16" s="83">
        <f t="shared" ca="1" si="0"/>
        <v>443</v>
      </c>
      <c r="K16" s="82" t="str">
        <f t="shared" ca="1" si="1"/>
        <v>Mayor a 60 días</v>
      </c>
      <c r="L16" s="78" t="s">
        <v>30</v>
      </c>
      <c r="M16" s="77" t="s">
        <v>30</v>
      </c>
      <c r="N16" s="77" t="s">
        <v>30</v>
      </c>
      <c r="O16" s="78" t="s">
        <v>30</v>
      </c>
      <c r="P16" s="78" t="s">
        <v>30</v>
      </c>
      <c r="Q16" s="77" t="s">
        <v>30</v>
      </c>
      <c r="R16" s="77" t="s">
        <v>48</v>
      </c>
      <c r="S16" s="78" t="s">
        <v>30</v>
      </c>
      <c r="T16" s="77" t="s">
        <v>34</v>
      </c>
      <c r="U16" s="9" t="s">
        <v>35</v>
      </c>
      <c r="V16" s="9" t="s">
        <v>49</v>
      </c>
      <c r="W16" s="9" t="s">
        <v>50</v>
      </c>
      <c r="X16" s="9" t="s">
        <v>98</v>
      </c>
    </row>
    <row r="17" spans="1:28" hidden="1">
      <c r="A17" s="5" t="s">
        <v>99</v>
      </c>
      <c r="B17" s="6" t="s">
        <v>100</v>
      </c>
      <c r="C17" s="6" t="s">
        <v>26</v>
      </c>
      <c r="D17" s="6" t="s">
        <v>101</v>
      </c>
      <c r="E17" s="6" t="s">
        <v>102</v>
      </c>
      <c r="F17" s="7">
        <v>45503</v>
      </c>
      <c r="G17" s="74">
        <v>45554</v>
      </c>
      <c r="H17" s="74"/>
      <c r="I17" s="74"/>
      <c r="J17" s="83">
        <f t="shared" ca="1" si="0"/>
        <v>441</v>
      </c>
      <c r="K17" s="82" t="str">
        <f t="shared" ca="1" si="1"/>
        <v>Mayor a 60 días</v>
      </c>
      <c r="L17" s="78" t="s">
        <v>30</v>
      </c>
      <c r="M17" s="77" t="s">
        <v>30</v>
      </c>
      <c r="N17" s="77" t="s">
        <v>30</v>
      </c>
      <c r="O17" s="77" t="s">
        <v>31</v>
      </c>
      <c r="P17" s="77" t="s">
        <v>29</v>
      </c>
      <c r="Q17" s="78" t="s">
        <v>32</v>
      </c>
      <c r="R17" s="78" t="s">
        <v>30</v>
      </c>
      <c r="S17" s="77" t="s">
        <v>33</v>
      </c>
      <c r="T17" s="77" t="s">
        <v>34</v>
      </c>
      <c r="U17" s="9" t="s">
        <v>35</v>
      </c>
      <c r="V17" s="9" t="s">
        <v>40</v>
      </c>
      <c r="W17" s="9" t="s">
        <v>40</v>
      </c>
      <c r="X17" s="9"/>
    </row>
    <row r="18" spans="1:28" hidden="1">
      <c r="A18" s="5" t="s">
        <v>103</v>
      </c>
      <c r="B18" s="6" t="s">
        <v>104</v>
      </c>
      <c r="C18" s="6" t="s">
        <v>58</v>
      </c>
      <c r="D18" s="6" t="s">
        <v>105</v>
      </c>
      <c r="E18" s="6" t="s">
        <v>30</v>
      </c>
      <c r="F18" s="7">
        <v>45504</v>
      </c>
      <c r="G18" s="74">
        <v>45554</v>
      </c>
      <c r="H18" s="74"/>
      <c r="I18" s="74"/>
      <c r="J18" s="83">
        <f t="shared" ca="1" si="0"/>
        <v>440</v>
      </c>
      <c r="K18" s="82" t="str">
        <f t="shared" ca="1" si="1"/>
        <v>Mayor a 60 días</v>
      </c>
      <c r="L18" s="78" t="s">
        <v>30</v>
      </c>
      <c r="M18" s="77" t="s">
        <v>30</v>
      </c>
      <c r="N18" s="77" t="s">
        <v>30</v>
      </c>
      <c r="O18" s="78" t="s">
        <v>30</v>
      </c>
      <c r="P18" s="78" t="s">
        <v>30</v>
      </c>
      <c r="Q18" s="78" t="s">
        <v>30</v>
      </c>
      <c r="R18" s="78" t="s">
        <v>30</v>
      </c>
      <c r="S18" s="78" t="s">
        <v>30</v>
      </c>
      <c r="T18" s="77" t="s">
        <v>60</v>
      </c>
      <c r="U18" s="9" t="s">
        <v>60</v>
      </c>
      <c r="V18" s="9" t="s">
        <v>49</v>
      </c>
      <c r="W18" s="9" t="s">
        <v>80</v>
      </c>
      <c r="X18" s="9" t="s">
        <v>106</v>
      </c>
    </row>
    <row r="19" spans="1:28" hidden="1">
      <c r="A19" s="5" t="s">
        <v>107</v>
      </c>
      <c r="B19" s="6" t="s">
        <v>108</v>
      </c>
      <c r="C19" s="6" t="s">
        <v>26</v>
      </c>
      <c r="D19" s="6" t="s">
        <v>109</v>
      </c>
      <c r="E19" s="6" t="s">
        <v>110</v>
      </c>
      <c r="F19" s="7">
        <v>45505</v>
      </c>
      <c r="G19" s="74">
        <v>45560</v>
      </c>
      <c r="H19" s="74"/>
      <c r="I19" s="74"/>
      <c r="J19" s="83">
        <f t="shared" ca="1" si="0"/>
        <v>439</v>
      </c>
      <c r="K19" s="82" t="str">
        <f t="shared" ca="1" si="1"/>
        <v>Mayor a 60 días</v>
      </c>
      <c r="L19" s="78" t="s">
        <v>30</v>
      </c>
      <c r="M19" s="77" t="s">
        <v>30</v>
      </c>
      <c r="N19" s="77" t="s">
        <v>30</v>
      </c>
      <c r="O19" s="78" t="s">
        <v>30</v>
      </c>
      <c r="P19" s="78" t="s">
        <v>30</v>
      </c>
      <c r="Q19" s="78" t="s">
        <v>30</v>
      </c>
      <c r="R19" s="77" t="s">
        <v>48</v>
      </c>
      <c r="S19" s="78" t="s">
        <v>30</v>
      </c>
      <c r="T19" s="77" t="s">
        <v>34</v>
      </c>
      <c r="U19" s="9" t="s">
        <v>35</v>
      </c>
      <c r="V19" s="9" t="s">
        <v>17</v>
      </c>
      <c r="W19" s="9" t="s">
        <v>111</v>
      </c>
      <c r="X19" s="9" t="s">
        <v>112</v>
      </c>
    </row>
    <row r="20" spans="1:28" hidden="1">
      <c r="A20" s="5" t="s">
        <v>113</v>
      </c>
      <c r="B20" s="6" t="s">
        <v>108</v>
      </c>
      <c r="C20" s="6" t="s">
        <v>26</v>
      </c>
      <c r="D20" s="6" t="s">
        <v>114</v>
      </c>
      <c r="E20" s="6" t="s">
        <v>30</v>
      </c>
      <c r="F20" s="7">
        <v>45505</v>
      </c>
      <c r="G20" s="74">
        <v>45560</v>
      </c>
      <c r="H20" s="74"/>
      <c r="I20" s="74"/>
      <c r="J20" s="83">
        <f t="shared" ca="1" si="0"/>
        <v>439</v>
      </c>
      <c r="K20" s="82" t="str">
        <f t="shared" ca="1" si="1"/>
        <v>Mayor a 60 días</v>
      </c>
      <c r="L20" s="78" t="s">
        <v>30</v>
      </c>
      <c r="M20" s="77" t="s">
        <v>30</v>
      </c>
      <c r="N20" s="77" t="s">
        <v>30</v>
      </c>
      <c r="O20" s="78" t="s">
        <v>30</v>
      </c>
      <c r="P20" s="78" t="s">
        <v>30</v>
      </c>
      <c r="Q20" s="78" t="s">
        <v>30</v>
      </c>
      <c r="R20" s="78" t="s">
        <v>30</v>
      </c>
      <c r="S20" s="78" t="s">
        <v>30</v>
      </c>
      <c r="T20" s="77" t="s">
        <v>34</v>
      </c>
      <c r="U20" s="9" t="s">
        <v>35</v>
      </c>
      <c r="V20" s="9" t="s">
        <v>17</v>
      </c>
      <c r="W20" s="9" t="s">
        <v>111</v>
      </c>
      <c r="X20" s="9" t="s">
        <v>115</v>
      </c>
    </row>
    <row r="21" spans="1:28" hidden="1">
      <c r="A21" s="5" t="s">
        <v>116</v>
      </c>
      <c r="B21" s="12" t="s">
        <v>117</v>
      </c>
      <c r="C21" s="6" t="s">
        <v>58</v>
      </c>
      <c r="D21" s="6" t="s">
        <v>118</v>
      </c>
      <c r="E21" s="6" t="s">
        <v>30</v>
      </c>
      <c r="F21" s="7">
        <v>45503</v>
      </c>
      <c r="G21" s="74">
        <v>45531</v>
      </c>
      <c r="H21" s="74"/>
      <c r="I21" s="74"/>
      <c r="J21" s="83">
        <f t="shared" ca="1" si="0"/>
        <v>441</v>
      </c>
      <c r="K21" s="82" t="str">
        <f t="shared" ca="1" si="1"/>
        <v>Mayor a 60 días</v>
      </c>
      <c r="L21" s="78" t="s">
        <v>30</v>
      </c>
      <c r="M21" s="77" t="s">
        <v>30</v>
      </c>
      <c r="N21" s="77" t="s">
        <v>30</v>
      </c>
      <c r="O21" s="78" t="s">
        <v>30</v>
      </c>
      <c r="P21" s="78" t="s">
        <v>30</v>
      </c>
      <c r="Q21" s="78" t="s">
        <v>30</v>
      </c>
      <c r="R21" s="78" t="s">
        <v>30</v>
      </c>
      <c r="S21" s="78" t="s">
        <v>119</v>
      </c>
      <c r="T21" s="77" t="s">
        <v>60</v>
      </c>
      <c r="U21" s="9" t="s">
        <v>60</v>
      </c>
      <c r="V21" s="9"/>
      <c r="W21" s="9"/>
      <c r="X21" s="9" t="s">
        <v>120</v>
      </c>
    </row>
    <row r="22" spans="1:28" hidden="1">
      <c r="A22" s="5" t="s">
        <v>121</v>
      </c>
      <c r="B22" s="6" t="s">
        <v>122</v>
      </c>
      <c r="C22" s="6" t="s">
        <v>26</v>
      </c>
      <c r="D22" s="6" t="s">
        <v>123</v>
      </c>
      <c r="E22" s="6" t="s">
        <v>30</v>
      </c>
      <c r="F22" s="7">
        <v>45506</v>
      </c>
      <c r="G22" s="74">
        <v>45513</v>
      </c>
      <c r="H22" s="74"/>
      <c r="I22" s="74"/>
      <c r="J22" s="83">
        <f t="shared" ca="1" si="0"/>
        <v>438</v>
      </c>
      <c r="K22" s="82" t="str">
        <f t="shared" ca="1" si="1"/>
        <v>Mayor a 60 días</v>
      </c>
      <c r="L22" s="78" t="s">
        <v>30</v>
      </c>
      <c r="M22" s="77" t="s">
        <v>29</v>
      </c>
      <c r="N22" s="77" t="s">
        <v>30</v>
      </c>
      <c r="O22" s="78" t="s">
        <v>31</v>
      </c>
      <c r="P22" s="77" t="s">
        <v>29</v>
      </c>
      <c r="Q22" s="78" t="s">
        <v>32</v>
      </c>
      <c r="R22" s="78" t="s">
        <v>30</v>
      </c>
      <c r="S22" s="78" t="s">
        <v>30</v>
      </c>
      <c r="T22" s="77" t="s">
        <v>34</v>
      </c>
      <c r="U22" s="9" t="s">
        <v>35</v>
      </c>
      <c r="V22" s="9" t="s">
        <v>40</v>
      </c>
      <c r="W22" s="9" t="s">
        <v>40</v>
      </c>
      <c r="X22" s="9"/>
    </row>
    <row r="23" spans="1:28" hidden="1">
      <c r="A23" s="5" t="s">
        <v>124</v>
      </c>
      <c r="B23" s="6" t="s">
        <v>122</v>
      </c>
      <c r="C23" s="6" t="s">
        <v>26</v>
      </c>
      <c r="D23" s="6" t="s">
        <v>83</v>
      </c>
      <c r="E23" s="6" t="s">
        <v>30</v>
      </c>
      <c r="F23" s="7">
        <v>45506</v>
      </c>
      <c r="G23" s="74">
        <v>45548</v>
      </c>
      <c r="H23" s="74"/>
      <c r="I23" s="74"/>
      <c r="J23" s="83">
        <f t="shared" ca="1" si="0"/>
        <v>438</v>
      </c>
      <c r="K23" s="82" t="str">
        <f t="shared" ca="1" si="1"/>
        <v>Mayor a 60 días</v>
      </c>
      <c r="L23" s="78" t="s">
        <v>30</v>
      </c>
      <c r="M23" s="77" t="s">
        <v>29</v>
      </c>
      <c r="N23" s="77" t="s">
        <v>30</v>
      </c>
      <c r="O23" s="78" t="s">
        <v>31</v>
      </c>
      <c r="P23" s="77" t="s">
        <v>29</v>
      </c>
      <c r="Q23" s="78" t="s">
        <v>32</v>
      </c>
      <c r="R23" s="78" t="s">
        <v>30</v>
      </c>
      <c r="S23" s="77" t="s">
        <v>33</v>
      </c>
      <c r="T23" s="77" t="s">
        <v>34</v>
      </c>
      <c r="U23" s="9" t="s">
        <v>35</v>
      </c>
      <c r="V23" s="9" t="s">
        <v>40</v>
      </c>
      <c r="W23" s="9" t="s">
        <v>40</v>
      </c>
      <c r="X23" s="9"/>
    </row>
    <row r="24" spans="1:28" hidden="1">
      <c r="A24" s="5" t="s">
        <v>125</v>
      </c>
      <c r="B24" s="6" t="s">
        <v>126</v>
      </c>
      <c r="C24" s="6" t="s">
        <v>26</v>
      </c>
      <c r="D24" s="6" t="s">
        <v>127</v>
      </c>
      <c r="E24" s="6"/>
      <c r="F24" s="7">
        <v>45512</v>
      </c>
      <c r="G24" s="74">
        <v>45544</v>
      </c>
      <c r="H24" s="74"/>
      <c r="I24" s="74"/>
      <c r="J24" s="83">
        <f t="shared" ca="1" si="0"/>
        <v>434</v>
      </c>
      <c r="K24" s="82" t="str">
        <f t="shared" ca="1" si="1"/>
        <v>Mayor a 60 días</v>
      </c>
      <c r="L24" s="78" t="s">
        <v>30</v>
      </c>
      <c r="M24" s="77" t="s">
        <v>29</v>
      </c>
      <c r="N24" s="77" t="s">
        <v>30</v>
      </c>
      <c r="O24" s="77" t="s">
        <v>30</v>
      </c>
      <c r="P24" s="77" t="s">
        <v>29</v>
      </c>
      <c r="Q24" s="77" t="s">
        <v>32</v>
      </c>
      <c r="R24" s="77" t="s">
        <v>30</v>
      </c>
      <c r="S24" s="77" t="s">
        <v>30</v>
      </c>
      <c r="T24" s="77" t="s">
        <v>34</v>
      </c>
      <c r="U24" s="9" t="s">
        <v>35</v>
      </c>
      <c r="V24" s="9" t="s">
        <v>49</v>
      </c>
      <c r="W24" s="9" t="s">
        <v>50</v>
      </c>
      <c r="X24" s="9"/>
    </row>
    <row r="25" spans="1:28" hidden="1">
      <c r="A25" s="5" t="s">
        <v>128</v>
      </c>
      <c r="B25" s="6" t="s">
        <v>129</v>
      </c>
      <c r="C25" s="6" t="s">
        <v>26</v>
      </c>
      <c r="D25" s="6" t="s">
        <v>130</v>
      </c>
      <c r="E25" s="6" t="s">
        <v>131</v>
      </c>
      <c r="F25" s="7">
        <v>45513</v>
      </c>
      <c r="G25" s="74">
        <v>45536</v>
      </c>
      <c r="H25" s="74"/>
      <c r="I25" s="74"/>
      <c r="J25" s="83">
        <f t="shared" ca="1" si="0"/>
        <v>433</v>
      </c>
      <c r="K25" s="82" t="str">
        <f t="shared" ca="1" si="1"/>
        <v>Mayor a 60 días</v>
      </c>
      <c r="L25" s="77" t="s">
        <v>30</v>
      </c>
      <c r="M25" s="77" t="s">
        <v>30</v>
      </c>
      <c r="N25" s="77" t="s">
        <v>30</v>
      </c>
      <c r="O25" s="77" t="s">
        <v>30</v>
      </c>
      <c r="P25" s="77" t="s">
        <v>30</v>
      </c>
      <c r="Q25" s="77" t="s">
        <v>30</v>
      </c>
      <c r="R25" s="77" t="s">
        <v>48</v>
      </c>
      <c r="S25" s="77" t="s">
        <v>30</v>
      </c>
      <c r="T25" s="77" t="s">
        <v>34</v>
      </c>
      <c r="U25" s="9" t="s">
        <v>35</v>
      </c>
      <c r="V25" s="9" t="s">
        <v>49</v>
      </c>
      <c r="W25" s="9" t="s">
        <v>132</v>
      </c>
      <c r="X25" s="9" t="s">
        <v>133</v>
      </c>
    </row>
    <row r="26" spans="1:28" hidden="1">
      <c r="A26" s="5" t="s">
        <v>134</v>
      </c>
      <c r="B26" s="6" t="s">
        <v>135</v>
      </c>
      <c r="C26" s="6" t="s">
        <v>26</v>
      </c>
      <c r="D26" s="6" t="s">
        <v>136</v>
      </c>
      <c r="E26" s="6" t="s">
        <v>137</v>
      </c>
      <c r="F26" s="7">
        <v>45512</v>
      </c>
      <c r="G26" s="74">
        <v>45556</v>
      </c>
      <c r="H26" s="74"/>
      <c r="I26" s="74"/>
      <c r="J26" s="83">
        <f t="shared" ca="1" si="0"/>
        <v>434</v>
      </c>
      <c r="K26" s="82" t="str">
        <f t="shared" ca="1" si="1"/>
        <v>Mayor a 60 días</v>
      </c>
      <c r="L26" s="77" t="s">
        <v>30</v>
      </c>
      <c r="M26" s="77" t="s">
        <v>30</v>
      </c>
      <c r="N26" s="77" t="s">
        <v>30</v>
      </c>
      <c r="O26" s="77" t="s">
        <v>30</v>
      </c>
      <c r="P26" s="77" t="s">
        <v>30</v>
      </c>
      <c r="Q26" s="77" t="s">
        <v>32</v>
      </c>
      <c r="R26" s="77" t="s">
        <v>30</v>
      </c>
      <c r="S26" s="77" t="s">
        <v>33</v>
      </c>
      <c r="T26" s="77" t="s">
        <v>34</v>
      </c>
      <c r="U26" s="9" t="s">
        <v>35</v>
      </c>
      <c r="V26" s="9"/>
      <c r="W26" s="9"/>
      <c r="X26" s="9" t="s">
        <v>35</v>
      </c>
    </row>
    <row r="27" spans="1:28" hidden="1">
      <c r="A27" s="5" t="s">
        <v>138</v>
      </c>
      <c r="B27" s="6" t="s">
        <v>139</v>
      </c>
      <c r="C27" s="6" t="s">
        <v>26</v>
      </c>
      <c r="D27" s="6" t="s">
        <v>140</v>
      </c>
      <c r="E27" s="6" t="s">
        <v>141</v>
      </c>
      <c r="F27" s="7">
        <v>45523</v>
      </c>
      <c r="G27" s="74">
        <v>45543</v>
      </c>
      <c r="H27" s="74"/>
      <c r="I27" s="74"/>
      <c r="J27" s="83">
        <f t="shared" ca="1" si="0"/>
        <v>427</v>
      </c>
      <c r="K27" s="82" t="str">
        <f t="shared" ca="1" si="1"/>
        <v>Mayor a 60 días</v>
      </c>
      <c r="L27" s="77" t="s">
        <v>29</v>
      </c>
      <c r="M27" s="77" t="s">
        <v>30</v>
      </c>
      <c r="N27" s="77" t="s">
        <v>30</v>
      </c>
      <c r="O27" s="77" t="s">
        <v>142</v>
      </c>
      <c r="P27" s="77" t="s">
        <v>142</v>
      </c>
      <c r="Q27" s="77" t="s">
        <v>143</v>
      </c>
      <c r="R27" s="77" t="s">
        <v>30</v>
      </c>
      <c r="S27" s="77" t="s">
        <v>33</v>
      </c>
      <c r="T27" s="77" t="s">
        <v>34</v>
      </c>
      <c r="U27" s="9" t="s">
        <v>35</v>
      </c>
      <c r="V27" s="9" t="s">
        <v>36</v>
      </c>
      <c r="W27" s="9" t="s">
        <v>50</v>
      </c>
      <c r="X27" s="9"/>
    </row>
    <row r="28" spans="1:28" hidden="1">
      <c r="A28" s="5" t="s">
        <v>144</v>
      </c>
      <c r="B28" s="6" t="s">
        <v>145</v>
      </c>
      <c r="C28" s="6" t="s">
        <v>26</v>
      </c>
      <c r="D28" s="6" t="s">
        <v>146</v>
      </c>
      <c r="E28" s="6" t="s">
        <v>30</v>
      </c>
      <c r="F28" s="7">
        <v>45523</v>
      </c>
      <c r="G28" s="74">
        <v>45527</v>
      </c>
      <c r="H28" s="74"/>
      <c r="I28" s="74"/>
      <c r="J28" s="83">
        <f t="shared" ca="1" si="0"/>
        <v>427</v>
      </c>
      <c r="K28" s="82" t="str">
        <f t="shared" ca="1" si="1"/>
        <v>Mayor a 60 días</v>
      </c>
      <c r="L28" s="77" t="s">
        <v>30</v>
      </c>
      <c r="M28" s="77" t="s">
        <v>30</v>
      </c>
      <c r="N28" s="77" t="s">
        <v>30</v>
      </c>
      <c r="O28" s="77" t="s">
        <v>30</v>
      </c>
      <c r="P28" s="77" t="s">
        <v>30</v>
      </c>
      <c r="Q28" s="77" t="s">
        <v>30</v>
      </c>
      <c r="R28" s="77" t="s">
        <v>30</v>
      </c>
      <c r="S28" s="77" t="s">
        <v>30</v>
      </c>
      <c r="T28" s="77" t="s">
        <v>34</v>
      </c>
      <c r="U28" s="9" t="s">
        <v>35</v>
      </c>
      <c r="V28" s="9" t="s">
        <v>36</v>
      </c>
      <c r="W28" s="9" t="s">
        <v>1</v>
      </c>
      <c r="X28" s="9"/>
    </row>
    <row r="29" spans="1:28" hidden="1">
      <c r="A29" s="5" t="s">
        <v>147</v>
      </c>
      <c r="B29" s="6" t="s">
        <v>148</v>
      </c>
      <c r="C29" s="6" t="s">
        <v>26</v>
      </c>
      <c r="D29" s="6" t="s">
        <v>149</v>
      </c>
      <c r="E29" s="6" t="s">
        <v>30</v>
      </c>
      <c r="F29" s="7">
        <v>45519</v>
      </c>
      <c r="G29" s="74">
        <v>45547</v>
      </c>
      <c r="H29" s="74"/>
      <c r="I29" s="74"/>
      <c r="J29" s="83">
        <f t="shared" ca="1" si="0"/>
        <v>429</v>
      </c>
      <c r="K29" s="82" t="str">
        <f t="shared" ca="1" si="1"/>
        <v>Mayor a 60 días</v>
      </c>
      <c r="L29" s="77" t="s">
        <v>30</v>
      </c>
      <c r="M29" s="77" t="s">
        <v>30</v>
      </c>
      <c r="N29" s="77" t="s">
        <v>30</v>
      </c>
      <c r="O29" s="77" t="s">
        <v>30</v>
      </c>
      <c r="P29" s="77" t="s">
        <v>30</v>
      </c>
      <c r="Q29" s="77" t="s">
        <v>30</v>
      </c>
      <c r="R29" s="77" t="s">
        <v>48</v>
      </c>
      <c r="S29" s="77" t="s">
        <v>30</v>
      </c>
      <c r="T29" s="77" t="s">
        <v>34</v>
      </c>
      <c r="U29" s="9" t="s">
        <v>35</v>
      </c>
      <c r="V29" s="9" t="s">
        <v>36</v>
      </c>
      <c r="W29" s="9" t="s">
        <v>150</v>
      </c>
      <c r="X29" s="9"/>
    </row>
    <row r="30" spans="1:28" hidden="1">
      <c r="A30" s="5" t="s">
        <v>151</v>
      </c>
      <c r="B30" s="6" t="s">
        <v>152</v>
      </c>
      <c r="C30" s="6" t="s">
        <v>26</v>
      </c>
      <c r="D30" s="6" t="s">
        <v>153</v>
      </c>
      <c r="E30" s="6" t="s">
        <v>30</v>
      </c>
      <c r="F30" s="7">
        <v>45519</v>
      </c>
      <c r="G30" s="74">
        <v>45547</v>
      </c>
      <c r="H30" s="74"/>
      <c r="I30" s="74"/>
      <c r="J30" s="83">
        <f t="shared" ca="1" si="0"/>
        <v>429</v>
      </c>
      <c r="K30" s="82" t="str">
        <f t="shared" ca="1" si="1"/>
        <v>Mayor a 60 días</v>
      </c>
      <c r="L30" s="77" t="s">
        <v>30</v>
      </c>
      <c r="M30" s="77" t="s">
        <v>30</v>
      </c>
      <c r="N30" s="77" t="s">
        <v>30</v>
      </c>
      <c r="O30" s="77" t="s">
        <v>30</v>
      </c>
      <c r="P30" s="77" t="s">
        <v>30</v>
      </c>
      <c r="Q30" s="77" t="s">
        <v>30</v>
      </c>
      <c r="R30" s="77" t="s">
        <v>48</v>
      </c>
      <c r="S30" s="77" t="s">
        <v>30</v>
      </c>
      <c r="T30" s="77" t="s">
        <v>34</v>
      </c>
      <c r="U30" s="9" t="s">
        <v>35</v>
      </c>
      <c r="V30" s="9" t="s">
        <v>36</v>
      </c>
      <c r="W30" s="9" t="s">
        <v>150</v>
      </c>
      <c r="X30" s="9"/>
      <c r="Y30" s="85"/>
      <c r="Z30" s="85"/>
      <c r="AA30" s="85"/>
      <c r="AB30" s="85"/>
    </row>
    <row r="31" spans="1:28" hidden="1">
      <c r="A31" s="5" t="s">
        <v>154</v>
      </c>
      <c r="B31" s="6" t="s">
        <v>155</v>
      </c>
      <c r="C31" s="6" t="s">
        <v>26</v>
      </c>
      <c r="D31" s="6" t="s">
        <v>156</v>
      </c>
      <c r="E31" s="6" t="s">
        <v>157</v>
      </c>
      <c r="F31" s="7">
        <v>45531</v>
      </c>
      <c r="G31" s="74">
        <v>45561</v>
      </c>
      <c r="H31" s="74"/>
      <c r="I31" s="74"/>
      <c r="J31" s="83">
        <f t="shared" ca="1" si="0"/>
        <v>421</v>
      </c>
      <c r="K31" s="82" t="str">
        <f t="shared" ca="1" si="1"/>
        <v>Mayor a 60 días</v>
      </c>
      <c r="L31" s="77" t="s">
        <v>30</v>
      </c>
      <c r="M31" s="77" t="s">
        <v>30</v>
      </c>
      <c r="N31" s="77" t="s">
        <v>30</v>
      </c>
      <c r="O31" s="77" t="s">
        <v>30</v>
      </c>
      <c r="P31" s="77" t="s">
        <v>30</v>
      </c>
      <c r="Q31" s="77" t="s">
        <v>30</v>
      </c>
      <c r="R31" s="77" t="s">
        <v>48</v>
      </c>
      <c r="S31" s="77" t="s">
        <v>30</v>
      </c>
      <c r="T31" s="77" t="s">
        <v>34</v>
      </c>
      <c r="U31" s="9" t="s">
        <v>35</v>
      </c>
      <c r="V31" s="9" t="s">
        <v>49</v>
      </c>
      <c r="W31" s="9" t="s">
        <v>150</v>
      </c>
      <c r="X31" s="9"/>
      <c r="Y31" s="85"/>
      <c r="Z31" s="85"/>
      <c r="AA31" s="85"/>
      <c r="AB31" s="85"/>
    </row>
    <row r="32" spans="1:28" hidden="1">
      <c r="A32" s="5" t="s">
        <v>158</v>
      </c>
      <c r="B32" s="6" t="s">
        <v>159</v>
      </c>
      <c r="C32" s="6" t="s">
        <v>26</v>
      </c>
      <c r="D32" s="6" t="s">
        <v>39</v>
      </c>
      <c r="E32" s="6" t="s">
        <v>160</v>
      </c>
      <c r="F32" s="7">
        <v>45531</v>
      </c>
      <c r="G32" s="74">
        <v>45561</v>
      </c>
      <c r="H32" s="74"/>
      <c r="I32" s="74"/>
      <c r="J32" s="83">
        <f t="shared" ca="1" si="0"/>
        <v>421</v>
      </c>
      <c r="K32" s="82" t="str">
        <f t="shared" ca="1" si="1"/>
        <v>Mayor a 60 días</v>
      </c>
      <c r="L32" s="77" t="s">
        <v>30</v>
      </c>
      <c r="M32" s="77" t="s">
        <v>30</v>
      </c>
      <c r="N32" s="77" t="s">
        <v>30</v>
      </c>
      <c r="O32" s="77" t="s">
        <v>30</v>
      </c>
      <c r="P32" s="77" t="s">
        <v>30</v>
      </c>
      <c r="Q32" s="77" t="s">
        <v>30</v>
      </c>
      <c r="R32" s="77" t="s">
        <v>30</v>
      </c>
      <c r="S32" s="77" t="s">
        <v>30</v>
      </c>
      <c r="T32" s="77" t="s">
        <v>34</v>
      </c>
      <c r="U32" s="9" t="s">
        <v>35</v>
      </c>
      <c r="V32" s="9" t="s">
        <v>49</v>
      </c>
      <c r="W32" s="9" t="s">
        <v>150</v>
      </c>
      <c r="X32" s="9"/>
      <c r="Y32" s="85"/>
      <c r="Z32" s="85"/>
      <c r="AA32" s="85"/>
      <c r="AB32" s="85"/>
    </row>
    <row r="33" spans="1:28" hidden="1">
      <c r="A33" s="5" t="s">
        <v>161</v>
      </c>
      <c r="B33" s="6" t="s">
        <v>162</v>
      </c>
      <c r="C33" s="6" t="s">
        <v>26</v>
      </c>
      <c r="D33" s="6" t="s">
        <v>163</v>
      </c>
      <c r="E33" s="6" t="s">
        <v>164</v>
      </c>
      <c r="F33" s="7">
        <v>45531</v>
      </c>
      <c r="G33" s="74">
        <v>45561</v>
      </c>
      <c r="H33" s="74"/>
      <c r="I33" s="74"/>
      <c r="J33" s="83">
        <f t="shared" ca="1" si="0"/>
        <v>421</v>
      </c>
      <c r="K33" s="82" t="str">
        <f t="shared" ca="1" si="1"/>
        <v>Mayor a 60 días</v>
      </c>
      <c r="L33" s="77" t="s">
        <v>30</v>
      </c>
      <c r="M33" s="77" t="s">
        <v>30</v>
      </c>
      <c r="N33" s="77" t="s">
        <v>30</v>
      </c>
      <c r="O33" s="77" t="s">
        <v>30</v>
      </c>
      <c r="P33" s="77" t="s">
        <v>30</v>
      </c>
      <c r="Q33" s="77" t="s">
        <v>30</v>
      </c>
      <c r="R33" s="77" t="s">
        <v>30</v>
      </c>
      <c r="S33" s="77" t="s">
        <v>30</v>
      </c>
      <c r="T33" s="77" t="s">
        <v>34</v>
      </c>
      <c r="U33" s="9" t="s">
        <v>35</v>
      </c>
      <c r="V33" s="9"/>
      <c r="W33" s="9"/>
      <c r="X33" s="9"/>
      <c r="Y33" s="85"/>
      <c r="Z33" s="85"/>
      <c r="AA33" s="85"/>
      <c r="AB33" s="85"/>
    </row>
    <row r="34" spans="1:28" hidden="1">
      <c r="A34" s="5" t="s">
        <v>165</v>
      </c>
      <c r="B34" s="6" t="s">
        <v>166</v>
      </c>
      <c r="C34" s="6" t="s">
        <v>26</v>
      </c>
      <c r="D34" s="6" t="s">
        <v>39</v>
      </c>
      <c r="E34" s="6" t="s">
        <v>167</v>
      </c>
      <c r="F34" s="7">
        <v>45531</v>
      </c>
      <c r="G34" s="74">
        <v>45561</v>
      </c>
      <c r="H34" s="74"/>
      <c r="I34" s="74"/>
      <c r="J34" s="83">
        <f t="shared" ca="1" si="0"/>
        <v>421</v>
      </c>
      <c r="K34" s="82" t="str">
        <f t="shared" ca="1" si="1"/>
        <v>Mayor a 60 días</v>
      </c>
      <c r="L34" s="77" t="s">
        <v>30</v>
      </c>
      <c r="M34" s="77" t="s">
        <v>30</v>
      </c>
      <c r="N34" s="77" t="s">
        <v>30</v>
      </c>
      <c r="O34" s="77" t="s">
        <v>30</v>
      </c>
      <c r="P34" s="77" t="s">
        <v>30</v>
      </c>
      <c r="Q34" s="77" t="s">
        <v>30</v>
      </c>
      <c r="R34" s="77" t="s">
        <v>30</v>
      </c>
      <c r="S34" s="77" t="s">
        <v>30</v>
      </c>
      <c r="T34" s="77" t="s">
        <v>34</v>
      </c>
      <c r="U34" s="9" t="s">
        <v>35</v>
      </c>
      <c r="V34" s="9" t="s">
        <v>49</v>
      </c>
      <c r="W34" s="9" t="s">
        <v>150</v>
      </c>
      <c r="X34" s="9"/>
      <c r="Y34" s="85"/>
      <c r="Z34" s="85"/>
      <c r="AA34" s="85"/>
      <c r="AB34" s="85"/>
    </row>
    <row r="35" spans="1:28" hidden="1">
      <c r="A35" s="5" t="s">
        <v>168</v>
      </c>
      <c r="B35" s="6" t="s">
        <v>169</v>
      </c>
      <c r="C35" s="6" t="s">
        <v>26</v>
      </c>
      <c r="D35" s="6" t="s">
        <v>170</v>
      </c>
      <c r="E35" s="6" t="s">
        <v>171</v>
      </c>
      <c r="F35" s="7">
        <v>45531</v>
      </c>
      <c r="G35" s="7">
        <v>45538</v>
      </c>
      <c r="H35" s="7"/>
      <c r="I35" s="7"/>
      <c r="J35" s="83">
        <f t="shared" ca="1" si="0"/>
        <v>421</v>
      </c>
      <c r="K35" s="82" t="str">
        <f t="shared" ca="1" si="1"/>
        <v>Mayor a 60 días</v>
      </c>
      <c r="L35" s="77" t="s">
        <v>30</v>
      </c>
      <c r="M35" s="77" t="s">
        <v>30</v>
      </c>
      <c r="N35" s="77" t="s">
        <v>30</v>
      </c>
      <c r="O35" s="77" t="s">
        <v>30</v>
      </c>
      <c r="P35" s="77" t="s">
        <v>30</v>
      </c>
      <c r="Q35" s="77" t="s">
        <v>30</v>
      </c>
      <c r="R35" s="77" t="s">
        <v>30</v>
      </c>
      <c r="S35" s="77" t="s">
        <v>30</v>
      </c>
      <c r="T35" s="77" t="s">
        <v>34</v>
      </c>
      <c r="U35" s="9" t="s">
        <v>35</v>
      </c>
      <c r="V35" s="9" t="s">
        <v>36</v>
      </c>
      <c r="W35" s="9" t="s">
        <v>1</v>
      </c>
      <c r="X35" s="9"/>
      <c r="Y35" s="85"/>
      <c r="Z35" s="85"/>
      <c r="AA35" s="85"/>
      <c r="AB35" s="85"/>
    </row>
    <row r="36" spans="1:28" hidden="1">
      <c r="A36" s="5" t="s">
        <v>172</v>
      </c>
      <c r="B36" s="6" t="s">
        <v>173</v>
      </c>
      <c r="C36" s="6" t="s">
        <v>26</v>
      </c>
      <c r="D36" s="6" t="s">
        <v>174</v>
      </c>
      <c r="E36" s="6" t="s">
        <v>175</v>
      </c>
      <c r="F36" s="7">
        <v>45534</v>
      </c>
      <c r="G36" s="74">
        <v>45567</v>
      </c>
      <c r="H36" s="74"/>
      <c r="I36" s="74"/>
      <c r="J36" s="83">
        <f t="shared" ca="1" si="0"/>
        <v>418</v>
      </c>
      <c r="K36" s="82" t="str">
        <f t="shared" ca="1" si="1"/>
        <v>Mayor a 60 días</v>
      </c>
      <c r="L36" s="77" t="s">
        <v>176</v>
      </c>
      <c r="M36" s="77" t="s">
        <v>30</v>
      </c>
      <c r="N36" s="77" t="s">
        <v>30</v>
      </c>
      <c r="O36" s="77" t="s">
        <v>31</v>
      </c>
      <c r="P36" s="77" t="s">
        <v>29</v>
      </c>
      <c r="Q36" s="77" t="s">
        <v>32</v>
      </c>
      <c r="R36" s="77" t="s">
        <v>30</v>
      </c>
      <c r="S36" s="77" t="s">
        <v>33</v>
      </c>
      <c r="T36" s="77" t="s">
        <v>34</v>
      </c>
      <c r="U36" s="9" t="s">
        <v>35</v>
      </c>
      <c r="V36" s="9" t="s">
        <v>40</v>
      </c>
      <c r="W36" s="9" t="s">
        <v>40</v>
      </c>
      <c r="X36" s="9"/>
      <c r="Y36" s="85"/>
      <c r="Z36" s="85"/>
      <c r="AA36" s="85"/>
      <c r="AB36" s="85"/>
    </row>
    <row r="37" spans="1:28" hidden="1">
      <c r="A37" s="5" t="s">
        <v>177</v>
      </c>
      <c r="B37" s="6" t="s">
        <v>178</v>
      </c>
      <c r="C37" s="6" t="s">
        <v>26</v>
      </c>
      <c r="D37" s="6" t="s">
        <v>179</v>
      </c>
      <c r="E37" s="6" t="s">
        <v>180</v>
      </c>
      <c r="F37" s="7">
        <v>45537</v>
      </c>
      <c r="G37" s="74">
        <v>45567</v>
      </c>
      <c r="H37" s="74"/>
      <c r="I37" s="74"/>
      <c r="J37" s="83">
        <f t="shared" ca="1" si="0"/>
        <v>417</v>
      </c>
      <c r="K37" s="82" t="str">
        <f t="shared" ca="1" si="1"/>
        <v>Mayor a 60 días</v>
      </c>
      <c r="L37" s="77" t="s">
        <v>29</v>
      </c>
      <c r="M37" s="77" t="s">
        <v>30</v>
      </c>
      <c r="N37" s="77" t="s">
        <v>30</v>
      </c>
      <c r="O37" s="77" t="s">
        <v>31</v>
      </c>
      <c r="P37" s="77" t="s">
        <v>29</v>
      </c>
      <c r="Q37" s="77" t="s">
        <v>32</v>
      </c>
      <c r="R37" s="77" t="s">
        <v>48</v>
      </c>
      <c r="S37" s="77" t="s">
        <v>33</v>
      </c>
      <c r="T37" s="77" t="s">
        <v>34</v>
      </c>
      <c r="U37" s="9" t="s">
        <v>35</v>
      </c>
      <c r="V37" s="9" t="s">
        <v>36</v>
      </c>
      <c r="W37" s="9" t="s">
        <v>1</v>
      </c>
      <c r="X37" s="9"/>
      <c r="Y37" s="85"/>
      <c r="Z37" s="85"/>
      <c r="AA37" s="85"/>
      <c r="AB37" s="85"/>
    </row>
    <row r="38" spans="1:28" hidden="1">
      <c r="A38" s="5" t="s">
        <v>181</v>
      </c>
      <c r="B38" s="6" t="s">
        <v>182</v>
      </c>
      <c r="C38" s="6" t="s">
        <v>26</v>
      </c>
      <c r="D38" s="6" t="s">
        <v>127</v>
      </c>
      <c r="E38" s="6" t="s">
        <v>30</v>
      </c>
      <c r="F38" s="7">
        <v>45540</v>
      </c>
      <c r="G38" s="74">
        <v>45572</v>
      </c>
      <c r="H38" s="74"/>
      <c r="I38" s="74"/>
      <c r="J38" s="83">
        <f t="shared" ca="1" si="0"/>
        <v>414</v>
      </c>
      <c r="K38" s="82" t="str">
        <f t="shared" ca="1" si="1"/>
        <v>Mayor a 60 días</v>
      </c>
      <c r="L38" s="77" t="s">
        <v>29</v>
      </c>
      <c r="M38" s="77" t="s">
        <v>30</v>
      </c>
      <c r="N38" s="77" t="s">
        <v>30</v>
      </c>
      <c r="O38" s="77" t="s">
        <v>31</v>
      </c>
      <c r="P38" s="77" t="s">
        <v>29</v>
      </c>
      <c r="Q38" s="77" t="s">
        <v>30</v>
      </c>
      <c r="R38" s="77" t="s">
        <v>30</v>
      </c>
      <c r="S38" s="77" t="s">
        <v>30</v>
      </c>
      <c r="T38" s="77" t="s">
        <v>34</v>
      </c>
      <c r="U38" s="9" t="s">
        <v>35</v>
      </c>
      <c r="V38" s="9" t="s">
        <v>36</v>
      </c>
      <c r="W38" s="9" t="s">
        <v>1</v>
      </c>
      <c r="X38" s="9"/>
      <c r="Y38" s="85"/>
      <c r="Z38" s="85"/>
      <c r="AA38" s="85"/>
      <c r="AB38" s="85"/>
    </row>
    <row r="39" spans="1:28" hidden="1">
      <c r="A39" s="5" t="s">
        <v>183</v>
      </c>
      <c r="B39" s="6" t="s">
        <v>184</v>
      </c>
      <c r="C39" s="6" t="s">
        <v>26</v>
      </c>
      <c r="D39" s="6" t="s">
        <v>185</v>
      </c>
      <c r="E39" s="6" t="s">
        <v>30</v>
      </c>
      <c r="F39" s="7">
        <v>45544</v>
      </c>
      <c r="G39" s="74">
        <v>45573</v>
      </c>
      <c r="H39" s="74"/>
      <c r="I39" s="74"/>
      <c r="J39" s="83">
        <f t="shared" ca="1" si="0"/>
        <v>412</v>
      </c>
      <c r="K39" s="82" t="str">
        <f t="shared" ca="1" si="1"/>
        <v>Mayor a 60 días</v>
      </c>
      <c r="L39" s="77" t="s">
        <v>30</v>
      </c>
      <c r="M39" s="77" t="s">
        <v>30</v>
      </c>
      <c r="N39" s="77" t="s">
        <v>30</v>
      </c>
      <c r="O39" s="77" t="s">
        <v>30</v>
      </c>
      <c r="P39" s="77" t="s">
        <v>30</v>
      </c>
      <c r="Q39" s="77" t="s">
        <v>30</v>
      </c>
      <c r="R39" s="77" t="s">
        <v>30</v>
      </c>
      <c r="S39" s="77" t="s">
        <v>30</v>
      </c>
      <c r="T39" s="77" t="s">
        <v>34</v>
      </c>
      <c r="U39" s="9" t="s">
        <v>35</v>
      </c>
      <c r="V39" s="9" t="s">
        <v>49</v>
      </c>
      <c r="W39" s="9" t="s">
        <v>132</v>
      </c>
      <c r="X39" s="9"/>
      <c r="Y39" s="85"/>
      <c r="Z39" s="85"/>
      <c r="AA39" s="85"/>
      <c r="AB39" s="85"/>
    </row>
    <row r="40" spans="1:28" hidden="1">
      <c r="A40" s="5" t="s">
        <v>186</v>
      </c>
      <c r="B40" s="6" t="s">
        <v>187</v>
      </c>
      <c r="C40" s="6" t="s">
        <v>26</v>
      </c>
      <c r="D40" s="6" t="s">
        <v>185</v>
      </c>
      <c r="E40" s="6" t="s">
        <v>30</v>
      </c>
      <c r="F40" s="7">
        <v>45544</v>
      </c>
      <c r="G40" s="74">
        <v>45573</v>
      </c>
      <c r="H40" s="74"/>
      <c r="I40" s="74"/>
      <c r="J40" s="83">
        <f t="shared" ca="1" si="0"/>
        <v>412</v>
      </c>
      <c r="K40" s="82" t="str">
        <f t="shared" ca="1" si="1"/>
        <v>Mayor a 60 días</v>
      </c>
      <c r="L40" s="77" t="s">
        <v>30</v>
      </c>
      <c r="M40" s="77" t="s">
        <v>30</v>
      </c>
      <c r="N40" s="77" t="s">
        <v>30</v>
      </c>
      <c r="O40" s="77" t="s">
        <v>30</v>
      </c>
      <c r="P40" s="77" t="s">
        <v>30</v>
      </c>
      <c r="Q40" s="77" t="s">
        <v>30</v>
      </c>
      <c r="R40" s="77" t="s">
        <v>30</v>
      </c>
      <c r="S40" s="77" t="s">
        <v>30</v>
      </c>
      <c r="T40" s="77" t="s">
        <v>34</v>
      </c>
      <c r="U40" s="9" t="s">
        <v>35</v>
      </c>
      <c r="V40" s="9" t="s">
        <v>49</v>
      </c>
      <c r="W40" s="9" t="s">
        <v>132</v>
      </c>
      <c r="X40" s="9"/>
      <c r="Y40" s="85"/>
      <c r="Z40" s="85"/>
      <c r="AA40" s="85"/>
      <c r="AB40" s="85"/>
    </row>
    <row r="41" spans="1:28" hidden="1">
      <c r="A41" s="5" t="s">
        <v>188</v>
      </c>
      <c r="B41" s="6" t="s">
        <v>189</v>
      </c>
      <c r="C41" s="6" t="s">
        <v>26</v>
      </c>
      <c r="D41" s="6" t="s">
        <v>190</v>
      </c>
      <c r="E41" s="6" t="s">
        <v>30</v>
      </c>
      <c r="F41" s="7">
        <v>45544</v>
      </c>
      <c r="G41" s="74">
        <v>45574</v>
      </c>
      <c r="H41" s="74"/>
      <c r="I41" s="74"/>
      <c r="J41" s="83">
        <f t="shared" ca="1" si="0"/>
        <v>412</v>
      </c>
      <c r="K41" s="82" t="str">
        <f t="shared" ca="1" si="1"/>
        <v>Mayor a 60 días</v>
      </c>
      <c r="L41" s="77" t="s">
        <v>30</v>
      </c>
      <c r="M41" s="77" t="s">
        <v>30</v>
      </c>
      <c r="N41" s="77" t="s">
        <v>30</v>
      </c>
      <c r="O41" s="77" t="s">
        <v>30</v>
      </c>
      <c r="P41" s="77" t="s">
        <v>30</v>
      </c>
      <c r="Q41" s="77" t="s">
        <v>30</v>
      </c>
      <c r="R41" s="77" t="s">
        <v>30</v>
      </c>
      <c r="S41" s="77" t="s">
        <v>30</v>
      </c>
      <c r="T41" s="77" t="s">
        <v>34</v>
      </c>
      <c r="U41" s="9" t="s">
        <v>35</v>
      </c>
      <c r="V41" s="9" t="s">
        <v>49</v>
      </c>
      <c r="W41" s="9" t="s">
        <v>80</v>
      </c>
      <c r="X41" s="9"/>
      <c r="Y41" s="85"/>
      <c r="Z41" s="85"/>
      <c r="AA41" s="85"/>
      <c r="AB41" s="85"/>
    </row>
    <row r="42" spans="1:28" hidden="1">
      <c r="A42" s="5" t="s">
        <v>191</v>
      </c>
      <c r="B42" s="6" t="s">
        <v>192</v>
      </c>
      <c r="C42" s="6" t="s">
        <v>26</v>
      </c>
      <c r="D42" s="6" t="s">
        <v>193</v>
      </c>
      <c r="E42" s="6" t="s">
        <v>30</v>
      </c>
      <c r="F42" s="7">
        <v>45546</v>
      </c>
      <c r="G42" s="74">
        <v>45552</v>
      </c>
      <c r="H42" s="74"/>
      <c r="I42" s="74"/>
      <c r="J42" s="83">
        <f t="shared" ca="1" si="0"/>
        <v>410</v>
      </c>
      <c r="K42" s="82" t="str">
        <f t="shared" ca="1" si="1"/>
        <v>Mayor a 60 días</v>
      </c>
      <c r="L42" s="77" t="s">
        <v>30</v>
      </c>
      <c r="M42" s="77" t="s">
        <v>30</v>
      </c>
      <c r="N42" s="77" t="s">
        <v>30</v>
      </c>
      <c r="O42" s="77" t="s">
        <v>30</v>
      </c>
      <c r="P42" s="77" t="s">
        <v>30</v>
      </c>
      <c r="Q42" s="77" t="s">
        <v>30</v>
      </c>
      <c r="R42" s="77" t="s">
        <v>30</v>
      </c>
      <c r="S42" s="77" t="s">
        <v>30</v>
      </c>
      <c r="T42" s="77" t="s">
        <v>34</v>
      </c>
      <c r="U42" s="9" t="s">
        <v>35</v>
      </c>
      <c r="V42" s="9" t="s">
        <v>49</v>
      </c>
      <c r="W42" s="9" t="s">
        <v>50</v>
      </c>
      <c r="X42" s="9"/>
      <c r="Y42" s="85"/>
      <c r="Z42" s="85"/>
      <c r="AA42" s="85"/>
      <c r="AB42" s="85"/>
    </row>
    <row r="43" spans="1:28" hidden="1">
      <c r="A43" s="5" t="s">
        <v>194</v>
      </c>
      <c r="B43" s="6" t="s">
        <v>195</v>
      </c>
      <c r="C43" s="6" t="s">
        <v>26</v>
      </c>
      <c r="D43" s="6" t="s">
        <v>196</v>
      </c>
      <c r="E43" s="6" t="s">
        <v>30</v>
      </c>
      <c r="F43" s="7">
        <v>45546</v>
      </c>
      <c r="G43" s="74">
        <v>45552</v>
      </c>
      <c r="H43" s="74"/>
      <c r="I43" s="74"/>
      <c r="J43" s="83">
        <f t="shared" ca="1" si="0"/>
        <v>410</v>
      </c>
      <c r="K43" s="82" t="str">
        <f t="shared" ca="1" si="1"/>
        <v>Mayor a 60 días</v>
      </c>
      <c r="L43" s="77" t="s">
        <v>30</v>
      </c>
      <c r="M43" s="77" t="s">
        <v>30</v>
      </c>
      <c r="N43" s="77" t="s">
        <v>30</v>
      </c>
      <c r="O43" s="77" t="s">
        <v>30</v>
      </c>
      <c r="P43" s="77" t="s">
        <v>30</v>
      </c>
      <c r="Q43" s="77" t="s">
        <v>30</v>
      </c>
      <c r="R43" s="77" t="s">
        <v>30</v>
      </c>
      <c r="S43" s="77" t="s">
        <v>30</v>
      </c>
      <c r="T43" s="77" t="s">
        <v>34</v>
      </c>
      <c r="U43" s="9" t="s">
        <v>35</v>
      </c>
      <c r="V43" s="9" t="s">
        <v>49</v>
      </c>
      <c r="W43" s="9" t="s">
        <v>50</v>
      </c>
      <c r="X43" s="9"/>
      <c r="Y43" s="85"/>
      <c r="Z43" s="85"/>
      <c r="AA43" s="85"/>
      <c r="AB43" s="85"/>
    </row>
    <row r="44" spans="1:28" hidden="1">
      <c r="A44" s="5" t="s">
        <v>197</v>
      </c>
      <c r="B44" s="6" t="s">
        <v>198</v>
      </c>
      <c r="C44" s="6" t="s">
        <v>58</v>
      </c>
      <c r="D44" s="6" t="s">
        <v>199</v>
      </c>
      <c r="E44" s="6" t="s">
        <v>30</v>
      </c>
      <c r="F44" s="7">
        <v>45548</v>
      </c>
      <c r="G44" s="74">
        <v>45580</v>
      </c>
      <c r="H44" s="74"/>
      <c r="I44" s="74"/>
      <c r="J44" s="83">
        <f t="shared" ca="1" si="0"/>
        <v>408</v>
      </c>
      <c r="K44" s="82" t="str">
        <f t="shared" ca="1" si="1"/>
        <v>Mayor a 60 días</v>
      </c>
      <c r="L44" s="77" t="s">
        <v>30</v>
      </c>
      <c r="M44" s="77" t="s">
        <v>30</v>
      </c>
      <c r="N44" s="77" t="s">
        <v>30</v>
      </c>
      <c r="O44" s="77" t="s">
        <v>30</v>
      </c>
      <c r="P44" s="77" t="s">
        <v>30</v>
      </c>
      <c r="Q44" s="77" t="s">
        <v>30</v>
      </c>
      <c r="R44" s="77" t="s">
        <v>30</v>
      </c>
      <c r="S44" s="77" t="s">
        <v>30</v>
      </c>
      <c r="T44" s="77" t="s">
        <v>60</v>
      </c>
      <c r="U44" s="9" t="s">
        <v>200</v>
      </c>
      <c r="V44" s="9" t="s">
        <v>49</v>
      </c>
      <c r="W44" s="9" t="s">
        <v>132</v>
      </c>
      <c r="X44" s="9" t="s">
        <v>201</v>
      </c>
      <c r="Y44" s="85"/>
      <c r="Z44" s="85"/>
      <c r="AA44" s="85"/>
      <c r="AB44" s="85"/>
    </row>
    <row r="45" spans="1:28" hidden="1">
      <c r="A45" s="5" t="s">
        <v>202</v>
      </c>
      <c r="B45" s="6" t="s">
        <v>203</v>
      </c>
      <c r="C45" s="6" t="s">
        <v>26</v>
      </c>
      <c r="D45" s="6" t="s">
        <v>204</v>
      </c>
      <c r="E45" s="6" t="s">
        <v>30</v>
      </c>
      <c r="F45" s="7">
        <v>45554</v>
      </c>
      <c r="G45" s="74">
        <v>45559</v>
      </c>
      <c r="H45" s="74"/>
      <c r="I45" s="74"/>
      <c r="J45" s="83">
        <f t="shared" ca="1" si="0"/>
        <v>404</v>
      </c>
      <c r="K45" s="82" t="str">
        <f t="shared" ca="1" si="1"/>
        <v>Mayor a 60 días</v>
      </c>
      <c r="L45" s="77" t="s">
        <v>205</v>
      </c>
      <c r="M45" s="77" t="s">
        <v>30</v>
      </c>
      <c r="N45" s="77" t="s">
        <v>30</v>
      </c>
      <c r="O45" s="77" t="s">
        <v>30</v>
      </c>
      <c r="P45" s="77" t="s">
        <v>30</v>
      </c>
      <c r="Q45" s="77" t="s">
        <v>30</v>
      </c>
      <c r="R45" s="77" t="s">
        <v>30</v>
      </c>
      <c r="S45" s="77" t="s">
        <v>30</v>
      </c>
      <c r="T45" s="77" t="s">
        <v>34</v>
      </c>
      <c r="U45" s="9" t="s">
        <v>35</v>
      </c>
      <c r="V45" s="9" t="s">
        <v>36</v>
      </c>
      <c r="W45" s="9" t="s">
        <v>1</v>
      </c>
      <c r="X45" s="9"/>
      <c r="Y45" s="85"/>
      <c r="Z45" s="85"/>
      <c r="AA45" s="85"/>
      <c r="AB45" s="85"/>
    </row>
    <row r="46" spans="1:28" hidden="1">
      <c r="A46" s="5" t="s">
        <v>206</v>
      </c>
      <c r="B46" s="6" t="s">
        <v>207</v>
      </c>
      <c r="C46" s="6" t="s">
        <v>26</v>
      </c>
      <c r="D46" s="6" t="s">
        <v>208</v>
      </c>
      <c r="E46" s="6" t="s">
        <v>30</v>
      </c>
      <c r="F46" s="7">
        <v>45559</v>
      </c>
      <c r="G46" s="74">
        <v>45562</v>
      </c>
      <c r="H46" s="74"/>
      <c r="I46" s="74"/>
      <c r="J46" s="83">
        <f t="shared" ca="1" si="0"/>
        <v>401</v>
      </c>
      <c r="K46" s="82" t="str">
        <f t="shared" ca="1" si="1"/>
        <v>Mayor a 60 días</v>
      </c>
      <c r="L46" s="77" t="s">
        <v>30</v>
      </c>
      <c r="M46" s="77" t="s">
        <v>30</v>
      </c>
      <c r="N46" s="77" t="s">
        <v>30</v>
      </c>
      <c r="O46" s="77" t="s">
        <v>30</v>
      </c>
      <c r="P46" s="77" t="s">
        <v>30</v>
      </c>
      <c r="Q46" s="77" t="s">
        <v>30</v>
      </c>
      <c r="R46" s="77" t="s">
        <v>30</v>
      </c>
      <c r="S46" s="77" t="s">
        <v>30</v>
      </c>
      <c r="T46" s="77" t="s">
        <v>34</v>
      </c>
      <c r="U46" s="9" t="s">
        <v>35</v>
      </c>
      <c r="V46" s="9" t="s">
        <v>36</v>
      </c>
      <c r="W46" s="9" t="s">
        <v>1</v>
      </c>
      <c r="X46" s="9"/>
      <c r="Y46" s="85"/>
      <c r="Z46" s="85"/>
      <c r="AA46" s="85"/>
      <c r="AB46" s="85"/>
    </row>
    <row r="47" spans="1:28" hidden="1">
      <c r="A47" s="5" t="s">
        <v>209</v>
      </c>
      <c r="B47" s="6" t="s">
        <v>210</v>
      </c>
      <c r="C47" s="6" t="s">
        <v>26</v>
      </c>
      <c r="D47" s="6" t="s">
        <v>211</v>
      </c>
      <c r="E47" s="6" t="s">
        <v>30</v>
      </c>
      <c r="F47" s="7">
        <v>45562</v>
      </c>
      <c r="G47" s="74">
        <v>45600</v>
      </c>
      <c r="H47" s="74"/>
      <c r="I47" s="74"/>
      <c r="J47" s="83">
        <f t="shared" ca="1" si="0"/>
        <v>398</v>
      </c>
      <c r="K47" s="82" t="str">
        <f t="shared" ca="1" si="1"/>
        <v>Mayor a 60 días</v>
      </c>
      <c r="L47" s="77" t="s">
        <v>30</v>
      </c>
      <c r="M47" s="77" t="s">
        <v>30</v>
      </c>
      <c r="N47" s="77" t="s">
        <v>30</v>
      </c>
      <c r="O47" s="77" t="s">
        <v>30</v>
      </c>
      <c r="P47" s="77" t="s">
        <v>30</v>
      </c>
      <c r="Q47" s="77" t="s">
        <v>30</v>
      </c>
      <c r="R47" s="77" t="s">
        <v>30</v>
      </c>
      <c r="S47" s="77" t="s">
        <v>30</v>
      </c>
      <c r="T47" s="77" t="s">
        <v>34</v>
      </c>
      <c r="U47" s="9" t="s">
        <v>35</v>
      </c>
      <c r="V47" s="9" t="s">
        <v>49</v>
      </c>
      <c r="W47" s="9" t="s">
        <v>50</v>
      </c>
      <c r="X47" s="9"/>
      <c r="Y47" s="85"/>
      <c r="Z47" s="85"/>
      <c r="AA47" s="85"/>
      <c r="AB47" s="85"/>
    </row>
    <row r="48" spans="1:28" hidden="1">
      <c r="A48" s="5" t="s">
        <v>212</v>
      </c>
      <c r="B48" s="6" t="s">
        <v>213</v>
      </c>
      <c r="C48" s="6" t="s">
        <v>26</v>
      </c>
      <c r="D48" s="6" t="s">
        <v>214</v>
      </c>
      <c r="E48" s="6" t="s">
        <v>30</v>
      </c>
      <c r="F48" s="7">
        <v>45565</v>
      </c>
      <c r="G48" s="74">
        <v>45594</v>
      </c>
      <c r="H48" s="74"/>
      <c r="I48" s="74"/>
      <c r="J48" s="83">
        <f t="shared" ca="1" si="0"/>
        <v>397</v>
      </c>
      <c r="K48" s="82" t="str">
        <f t="shared" ca="1" si="1"/>
        <v>Mayor a 60 días</v>
      </c>
      <c r="L48" s="77" t="s">
        <v>30</v>
      </c>
      <c r="M48" s="77" t="s">
        <v>30</v>
      </c>
      <c r="N48" s="77" t="s">
        <v>30</v>
      </c>
      <c r="O48" s="77" t="s">
        <v>30</v>
      </c>
      <c r="P48" s="77" t="s">
        <v>30</v>
      </c>
      <c r="Q48" s="77" t="s">
        <v>30</v>
      </c>
      <c r="R48" s="77" t="s">
        <v>30</v>
      </c>
      <c r="S48" s="77" t="s">
        <v>30</v>
      </c>
      <c r="T48" s="77" t="s">
        <v>34</v>
      </c>
      <c r="U48" s="9" t="s">
        <v>35</v>
      </c>
      <c r="V48" s="9" t="s">
        <v>70</v>
      </c>
      <c r="W48" s="9" t="s">
        <v>215</v>
      </c>
      <c r="X48" s="9"/>
      <c r="Y48" s="85"/>
      <c r="Z48" s="85"/>
      <c r="AA48" s="85"/>
      <c r="AB48" s="85"/>
    </row>
    <row r="49" spans="1:28" hidden="1">
      <c r="A49" s="5" t="s">
        <v>216</v>
      </c>
      <c r="B49" s="6" t="s">
        <v>217</v>
      </c>
      <c r="C49" s="6" t="s">
        <v>26</v>
      </c>
      <c r="D49" s="6" t="s">
        <v>136</v>
      </c>
      <c r="E49" s="6" t="s">
        <v>218</v>
      </c>
      <c r="F49" s="7">
        <v>45568</v>
      </c>
      <c r="G49" s="74">
        <v>45596</v>
      </c>
      <c r="H49" s="74"/>
      <c r="I49" s="74"/>
      <c r="J49" s="83">
        <f t="shared" ca="1" si="0"/>
        <v>394</v>
      </c>
      <c r="K49" s="82" t="str">
        <f t="shared" ca="1" si="1"/>
        <v>Mayor a 60 días</v>
      </c>
      <c r="L49" s="77" t="s">
        <v>29</v>
      </c>
      <c r="M49" s="77" t="s">
        <v>30</v>
      </c>
      <c r="N49" s="77" t="s">
        <v>30</v>
      </c>
      <c r="O49" s="77" t="s">
        <v>31</v>
      </c>
      <c r="P49" s="77" t="s">
        <v>29</v>
      </c>
      <c r="Q49" s="77" t="s">
        <v>32</v>
      </c>
      <c r="R49" s="77" t="s">
        <v>30</v>
      </c>
      <c r="S49" s="77" t="s">
        <v>33</v>
      </c>
      <c r="T49" s="77" t="s">
        <v>34</v>
      </c>
      <c r="U49" s="9" t="s">
        <v>35</v>
      </c>
      <c r="V49" s="9" t="s">
        <v>36</v>
      </c>
      <c r="W49" s="9" t="s">
        <v>1</v>
      </c>
      <c r="X49" s="9"/>
      <c r="Y49" s="85"/>
      <c r="Z49" s="85"/>
      <c r="AA49" s="85"/>
      <c r="AB49" s="85"/>
    </row>
    <row r="50" spans="1:28" hidden="1">
      <c r="A50" s="5" t="s">
        <v>219</v>
      </c>
      <c r="B50" s="6" t="s">
        <v>220</v>
      </c>
      <c r="C50" s="6" t="s">
        <v>26</v>
      </c>
      <c r="D50" s="6" t="s">
        <v>221</v>
      </c>
      <c r="E50" s="6" t="s">
        <v>222</v>
      </c>
      <c r="F50" s="7">
        <v>45568</v>
      </c>
      <c r="G50" s="74">
        <v>45596</v>
      </c>
      <c r="H50" s="74"/>
      <c r="I50" s="74"/>
      <c r="J50" s="83">
        <f t="shared" ca="1" si="0"/>
        <v>394</v>
      </c>
      <c r="K50" s="82" t="str">
        <f t="shared" ca="1" si="1"/>
        <v>Mayor a 60 días</v>
      </c>
      <c r="L50" s="77" t="s">
        <v>30</v>
      </c>
      <c r="M50" s="77" t="s">
        <v>30</v>
      </c>
      <c r="N50" s="77" t="s">
        <v>30</v>
      </c>
      <c r="O50" s="77" t="s">
        <v>30</v>
      </c>
      <c r="P50" s="77" t="s">
        <v>30</v>
      </c>
      <c r="Q50" s="77" t="s">
        <v>30</v>
      </c>
      <c r="R50" s="77" t="s">
        <v>48</v>
      </c>
      <c r="S50" s="77" t="s">
        <v>30</v>
      </c>
      <c r="T50" s="77" t="s">
        <v>34</v>
      </c>
      <c r="U50" s="9" t="s">
        <v>35</v>
      </c>
      <c r="V50" s="9" t="s">
        <v>17</v>
      </c>
      <c r="W50" s="9" t="s">
        <v>111</v>
      </c>
      <c r="X50" s="9"/>
      <c r="Y50" s="85"/>
      <c r="Z50" s="85"/>
      <c r="AA50" s="85"/>
      <c r="AB50" s="85"/>
    </row>
    <row r="51" spans="1:28" hidden="1">
      <c r="A51" s="5" t="s">
        <v>223</v>
      </c>
      <c r="B51" s="6" t="s">
        <v>224</v>
      </c>
      <c r="C51" s="6" t="s">
        <v>26</v>
      </c>
      <c r="D51" s="6" t="s">
        <v>225</v>
      </c>
      <c r="E51" s="6" t="s">
        <v>226</v>
      </c>
      <c r="F51" s="7">
        <v>45569</v>
      </c>
      <c r="G51" s="74">
        <v>45621</v>
      </c>
      <c r="H51" s="74"/>
      <c r="I51" s="74"/>
      <c r="J51" s="83">
        <f t="shared" ca="1" si="0"/>
        <v>393</v>
      </c>
      <c r="K51" s="82" t="str">
        <f t="shared" ca="1" si="1"/>
        <v>Mayor a 60 días</v>
      </c>
      <c r="L51" s="77" t="s">
        <v>30</v>
      </c>
      <c r="M51" s="77" t="s">
        <v>30</v>
      </c>
      <c r="N51" s="77" t="s">
        <v>30</v>
      </c>
      <c r="O51" s="77" t="s">
        <v>30</v>
      </c>
      <c r="P51" s="77" t="s">
        <v>30</v>
      </c>
      <c r="Q51" s="77" t="s">
        <v>30</v>
      </c>
      <c r="R51" s="77" t="s">
        <v>30</v>
      </c>
      <c r="S51" s="77" t="s">
        <v>30</v>
      </c>
      <c r="T51" s="77" t="s">
        <v>34</v>
      </c>
      <c r="U51" s="9" t="s">
        <v>35</v>
      </c>
      <c r="V51" s="9" t="s">
        <v>36</v>
      </c>
      <c r="W51" s="9" t="s">
        <v>1</v>
      </c>
      <c r="X51" s="9"/>
      <c r="Y51" s="85"/>
      <c r="Z51" s="85"/>
      <c r="AA51" s="85"/>
      <c r="AB51" s="85"/>
    </row>
    <row r="52" spans="1:28" hidden="1">
      <c r="A52" s="5" t="s">
        <v>227</v>
      </c>
      <c r="B52" s="6" t="s">
        <v>228</v>
      </c>
      <c r="C52" s="6" t="s">
        <v>26</v>
      </c>
      <c r="D52" s="6" t="s">
        <v>229</v>
      </c>
      <c r="E52" s="8" t="s">
        <v>230</v>
      </c>
      <c r="F52" s="7">
        <v>45572</v>
      </c>
      <c r="G52" s="74">
        <v>45629</v>
      </c>
      <c r="H52" s="74">
        <v>45925</v>
      </c>
      <c r="I52" s="74">
        <v>45925</v>
      </c>
      <c r="J52" s="83">
        <f t="shared" ca="1" si="0"/>
        <v>392</v>
      </c>
      <c r="K52" s="82" t="str">
        <f t="shared" ca="1" si="1"/>
        <v>Mayor a 60 días</v>
      </c>
      <c r="L52" s="77" t="s">
        <v>29</v>
      </c>
      <c r="M52" s="77" t="s">
        <v>29</v>
      </c>
      <c r="N52" s="77" t="s">
        <v>30</v>
      </c>
      <c r="O52" s="77" t="s">
        <v>31</v>
      </c>
      <c r="P52" s="77" t="s">
        <v>29</v>
      </c>
      <c r="Q52" s="77" t="s">
        <v>32</v>
      </c>
      <c r="R52" s="77" t="s">
        <v>48</v>
      </c>
      <c r="S52" s="77" t="s">
        <v>33</v>
      </c>
      <c r="T52" s="77" t="s">
        <v>34</v>
      </c>
      <c r="U52" s="9" t="s">
        <v>35</v>
      </c>
      <c r="V52" s="9" t="s">
        <v>40</v>
      </c>
      <c r="W52" s="9" t="s">
        <v>40</v>
      </c>
      <c r="X52" s="9" t="s">
        <v>231</v>
      </c>
      <c r="Y52" s="85"/>
      <c r="Z52" s="85"/>
      <c r="AA52" s="85"/>
      <c r="AB52" s="85"/>
    </row>
    <row r="53" spans="1:28" hidden="1">
      <c r="A53" s="5" t="s">
        <v>232</v>
      </c>
      <c r="B53" s="6" t="s">
        <v>233</v>
      </c>
      <c r="C53" s="6" t="s">
        <v>26</v>
      </c>
      <c r="D53" s="6" t="s">
        <v>54</v>
      </c>
      <c r="E53" s="6" t="s">
        <v>234</v>
      </c>
      <c r="F53" s="7">
        <v>45573</v>
      </c>
      <c r="G53" s="74">
        <v>45602</v>
      </c>
      <c r="H53" s="74"/>
      <c r="I53" s="74"/>
      <c r="J53" s="83">
        <f t="shared" ca="1" si="0"/>
        <v>391</v>
      </c>
      <c r="K53" s="82" t="str">
        <f t="shared" ca="1" si="1"/>
        <v>Mayor a 60 días</v>
      </c>
      <c r="L53" s="77" t="s">
        <v>176</v>
      </c>
      <c r="M53" s="77" t="s">
        <v>29</v>
      </c>
      <c r="N53" s="77" t="s">
        <v>30</v>
      </c>
      <c r="O53" s="77" t="s">
        <v>31</v>
      </c>
      <c r="P53" s="77" t="s">
        <v>29</v>
      </c>
      <c r="Q53" s="77" t="s">
        <v>32</v>
      </c>
      <c r="R53" s="77" t="s">
        <v>30</v>
      </c>
      <c r="S53" s="77" t="s">
        <v>33</v>
      </c>
      <c r="T53" s="77" t="s">
        <v>34</v>
      </c>
      <c r="U53" s="9" t="s">
        <v>35</v>
      </c>
      <c r="V53" s="9" t="s">
        <v>40</v>
      </c>
      <c r="W53" s="9" t="s">
        <v>1</v>
      </c>
      <c r="X53" s="9"/>
      <c r="Y53" s="85"/>
      <c r="Z53" s="85"/>
      <c r="AA53" s="85"/>
      <c r="AB53" s="85"/>
    </row>
    <row r="54" spans="1:28" hidden="1">
      <c r="A54" s="5" t="s">
        <v>235</v>
      </c>
      <c r="B54" s="13" t="s">
        <v>236</v>
      </c>
      <c r="C54" s="6" t="s">
        <v>58</v>
      </c>
      <c r="D54" s="6" t="s">
        <v>237</v>
      </c>
      <c r="E54" s="6" t="s">
        <v>238</v>
      </c>
      <c r="F54" s="7">
        <v>45575</v>
      </c>
      <c r="G54" s="86">
        <v>45603</v>
      </c>
      <c r="H54" s="86"/>
      <c r="I54" s="86"/>
      <c r="J54" s="83">
        <f t="shared" ca="1" si="0"/>
        <v>389</v>
      </c>
      <c r="K54" s="82" t="str">
        <f t="shared" ca="1" si="1"/>
        <v>Mayor a 60 días</v>
      </c>
      <c r="L54" s="77" t="s">
        <v>29</v>
      </c>
      <c r="M54" s="77" t="s">
        <v>30</v>
      </c>
      <c r="N54" s="77" t="s">
        <v>30</v>
      </c>
      <c r="O54" s="77" t="s">
        <v>142</v>
      </c>
      <c r="P54" s="77" t="s">
        <v>142</v>
      </c>
      <c r="Q54" s="77" t="s">
        <v>239</v>
      </c>
      <c r="R54" s="77" t="s">
        <v>30</v>
      </c>
      <c r="S54" s="77" t="s">
        <v>119</v>
      </c>
      <c r="T54" s="77" t="s">
        <v>60</v>
      </c>
      <c r="U54" s="9" t="s">
        <v>60</v>
      </c>
      <c r="V54" s="9" t="s">
        <v>36</v>
      </c>
      <c r="W54" s="9" t="s">
        <v>1</v>
      </c>
      <c r="X54" s="9" t="s">
        <v>240</v>
      </c>
      <c r="Y54" s="85"/>
      <c r="Z54" s="85"/>
      <c r="AA54" s="85"/>
      <c r="AB54" s="85"/>
    </row>
    <row r="55" spans="1:28" hidden="1">
      <c r="A55" s="5" t="s">
        <v>241</v>
      </c>
      <c r="B55" s="13" t="s">
        <v>242</v>
      </c>
      <c r="C55" s="6" t="s">
        <v>26</v>
      </c>
      <c r="D55" s="6" t="s">
        <v>243</v>
      </c>
      <c r="E55" s="8" t="s">
        <v>244</v>
      </c>
      <c r="F55" s="7">
        <v>45581</v>
      </c>
      <c r="G55" s="74">
        <v>45609</v>
      </c>
      <c r="H55" s="74">
        <v>45707</v>
      </c>
      <c r="I55" s="74"/>
      <c r="J55" s="83">
        <f t="shared" ca="1" si="0"/>
        <v>385</v>
      </c>
      <c r="K55" s="82" t="str">
        <f t="shared" ca="1" si="1"/>
        <v>Mayor a 60 días</v>
      </c>
      <c r="L55" s="77" t="s">
        <v>29</v>
      </c>
      <c r="M55" s="77" t="s">
        <v>30</v>
      </c>
      <c r="N55" s="77" t="s">
        <v>30</v>
      </c>
      <c r="O55" s="77" t="s">
        <v>31</v>
      </c>
      <c r="P55" s="77" t="s">
        <v>29</v>
      </c>
      <c r="Q55" s="77" t="s">
        <v>32</v>
      </c>
      <c r="R55" s="77" t="s">
        <v>48</v>
      </c>
      <c r="S55" s="77" t="s">
        <v>33</v>
      </c>
      <c r="T55" s="77" t="s">
        <v>34</v>
      </c>
      <c r="U55" s="9" t="s">
        <v>35</v>
      </c>
      <c r="V55" s="9" t="s">
        <v>36</v>
      </c>
      <c r="W55" s="9" t="s">
        <v>1</v>
      </c>
      <c r="X55" s="9" t="s">
        <v>245</v>
      </c>
      <c r="Y55" s="85"/>
      <c r="Z55" s="85"/>
      <c r="AA55" s="85"/>
      <c r="AB55" s="85"/>
    </row>
    <row r="56" spans="1:28" hidden="1">
      <c r="A56" s="5" t="s">
        <v>246</v>
      </c>
      <c r="B56" s="6" t="s">
        <v>247</v>
      </c>
      <c r="C56" s="6" t="s">
        <v>26</v>
      </c>
      <c r="D56" s="6" t="s">
        <v>214</v>
      </c>
      <c r="E56" s="6" t="s">
        <v>248</v>
      </c>
      <c r="F56" s="7">
        <v>45581</v>
      </c>
      <c r="G56" s="74">
        <v>45611</v>
      </c>
      <c r="H56" s="74"/>
      <c r="I56" s="74"/>
      <c r="J56" s="83">
        <f t="shared" ca="1" si="0"/>
        <v>385</v>
      </c>
      <c r="K56" s="82" t="str">
        <f t="shared" ca="1" si="1"/>
        <v>Mayor a 60 días</v>
      </c>
      <c r="L56" s="77" t="s">
        <v>30</v>
      </c>
      <c r="M56" s="77" t="s">
        <v>30</v>
      </c>
      <c r="N56" s="77" t="s">
        <v>30</v>
      </c>
      <c r="O56" s="77" t="s">
        <v>30</v>
      </c>
      <c r="P56" s="77" t="s">
        <v>30</v>
      </c>
      <c r="Q56" s="77" t="s">
        <v>30</v>
      </c>
      <c r="R56" s="77" t="s">
        <v>30</v>
      </c>
      <c r="S56" s="77" t="s">
        <v>30</v>
      </c>
      <c r="T56" s="77" t="s">
        <v>34</v>
      </c>
      <c r="U56" s="9" t="s">
        <v>35</v>
      </c>
      <c r="V56" s="9" t="s">
        <v>70</v>
      </c>
      <c r="W56" s="9" t="s">
        <v>111</v>
      </c>
      <c r="X56" s="9"/>
      <c r="Y56" s="85"/>
      <c r="Z56" s="85"/>
      <c r="AA56" s="85"/>
      <c r="AB56" s="85"/>
    </row>
    <row r="57" spans="1:28" hidden="1">
      <c r="A57" s="5" t="s">
        <v>249</v>
      </c>
      <c r="B57" s="6" t="s">
        <v>250</v>
      </c>
      <c r="C57" s="6" t="s">
        <v>26</v>
      </c>
      <c r="D57" s="6" t="s">
        <v>251</v>
      </c>
      <c r="E57" s="8" t="s">
        <v>226</v>
      </c>
      <c r="F57" s="7">
        <v>45587</v>
      </c>
      <c r="G57" s="74">
        <v>45616</v>
      </c>
      <c r="H57" s="74"/>
      <c r="I57" s="74"/>
      <c r="J57" s="83">
        <f t="shared" ca="1" si="0"/>
        <v>381</v>
      </c>
      <c r="K57" s="82" t="str">
        <f t="shared" ca="1" si="1"/>
        <v>Mayor a 60 días</v>
      </c>
      <c r="L57" s="77" t="s">
        <v>30</v>
      </c>
      <c r="M57" s="77" t="s">
        <v>30</v>
      </c>
      <c r="N57" s="77" t="s">
        <v>30</v>
      </c>
      <c r="O57" s="77" t="s">
        <v>30</v>
      </c>
      <c r="P57" s="77" t="s">
        <v>30</v>
      </c>
      <c r="Q57" s="77" t="s">
        <v>30</v>
      </c>
      <c r="R57" s="77" t="s">
        <v>30</v>
      </c>
      <c r="S57" s="77" t="s">
        <v>30</v>
      </c>
      <c r="T57" s="77" t="s">
        <v>34</v>
      </c>
      <c r="U57" s="9" t="s">
        <v>35</v>
      </c>
      <c r="V57" s="9" t="s">
        <v>36</v>
      </c>
      <c r="W57" s="9" t="s">
        <v>1</v>
      </c>
      <c r="X57" s="9" t="s">
        <v>252</v>
      </c>
      <c r="Y57" s="85"/>
      <c r="Z57" s="85"/>
      <c r="AA57" s="85"/>
      <c r="AB57" s="85"/>
    </row>
    <row r="58" spans="1:28" hidden="1">
      <c r="A58" s="5" t="s">
        <v>253</v>
      </c>
      <c r="B58" s="14" t="s">
        <v>250</v>
      </c>
      <c r="C58" s="6" t="s">
        <v>26</v>
      </c>
      <c r="D58" s="6" t="s">
        <v>140</v>
      </c>
      <c r="E58" s="8" t="s">
        <v>226</v>
      </c>
      <c r="F58" s="7">
        <v>45588</v>
      </c>
      <c r="G58" s="74">
        <v>45617</v>
      </c>
      <c r="H58" s="74"/>
      <c r="I58" s="74"/>
      <c r="J58" s="83">
        <f t="shared" ca="1" si="0"/>
        <v>380</v>
      </c>
      <c r="K58" s="82" t="str">
        <f t="shared" ca="1" si="1"/>
        <v>Mayor a 60 días</v>
      </c>
      <c r="L58" s="77" t="s">
        <v>30</v>
      </c>
      <c r="M58" s="77" t="s">
        <v>30</v>
      </c>
      <c r="N58" s="77" t="s">
        <v>30</v>
      </c>
      <c r="O58" s="77" t="s">
        <v>30</v>
      </c>
      <c r="P58" s="77" t="s">
        <v>30</v>
      </c>
      <c r="Q58" s="77" t="s">
        <v>30</v>
      </c>
      <c r="R58" s="77" t="s">
        <v>30</v>
      </c>
      <c r="S58" s="77" t="s">
        <v>30</v>
      </c>
      <c r="T58" s="77" t="s">
        <v>34</v>
      </c>
      <c r="U58" s="9" t="s">
        <v>35</v>
      </c>
      <c r="V58" s="9" t="s">
        <v>36</v>
      </c>
      <c r="W58" s="9" t="s">
        <v>1</v>
      </c>
      <c r="X58" s="9" t="s">
        <v>254</v>
      </c>
      <c r="Y58" s="85"/>
      <c r="Z58" s="85"/>
      <c r="AA58" s="85"/>
      <c r="AB58" s="85"/>
    </row>
    <row r="59" spans="1:28" hidden="1">
      <c r="A59" s="5" t="s">
        <v>255</v>
      </c>
      <c r="B59" s="6" t="s">
        <v>256</v>
      </c>
      <c r="C59" s="6" t="s">
        <v>26</v>
      </c>
      <c r="D59" s="6" t="s">
        <v>257</v>
      </c>
      <c r="E59" s="6" t="s">
        <v>258</v>
      </c>
      <c r="F59" s="7">
        <v>45588</v>
      </c>
      <c r="G59" s="74">
        <v>45617</v>
      </c>
      <c r="H59" s="74"/>
      <c r="I59" s="74"/>
      <c r="J59" s="83">
        <f t="shared" ca="1" si="0"/>
        <v>380</v>
      </c>
      <c r="K59" s="82" t="str">
        <f t="shared" ca="1" si="1"/>
        <v>Mayor a 60 días</v>
      </c>
      <c r="L59" s="77" t="s">
        <v>176</v>
      </c>
      <c r="M59" s="77" t="s">
        <v>30</v>
      </c>
      <c r="N59" s="77" t="s">
        <v>30</v>
      </c>
      <c r="O59" s="77" t="s">
        <v>31</v>
      </c>
      <c r="P59" s="77" t="s">
        <v>29</v>
      </c>
      <c r="Q59" s="77" t="s">
        <v>32</v>
      </c>
      <c r="R59" s="77" t="s">
        <v>30</v>
      </c>
      <c r="S59" s="77" t="s">
        <v>33</v>
      </c>
      <c r="T59" s="77" t="s">
        <v>34</v>
      </c>
      <c r="U59" s="9" t="s">
        <v>35</v>
      </c>
      <c r="V59" s="9" t="s">
        <v>40</v>
      </c>
      <c r="W59" s="9" t="s">
        <v>40</v>
      </c>
      <c r="X59" s="9"/>
      <c r="Y59" s="85"/>
      <c r="Z59" s="85"/>
      <c r="AA59" s="85"/>
      <c r="AB59" s="85"/>
    </row>
    <row r="60" spans="1:28" hidden="1">
      <c r="A60" s="5" t="s">
        <v>259</v>
      </c>
      <c r="B60" s="6" t="s">
        <v>260</v>
      </c>
      <c r="C60" s="6" t="s">
        <v>58</v>
      </c>
      <c r="D60" s="6" t="s">
        <v>261</v>
      </c>
      <c r="E60" s="8" t="s">
        <v>262</v>
      </c>
      <c r="F60" s="7">
        <v>45589</v>
      </c>
      <c r="G60" s="74">
        <v>45621</v>
      </c>
      <c r="H60" s="74"/>
      <c r="I60" s="74"/>
      <c r="J60" s="83">
        <f t="shared" ca="1" si="0"/>
        <v>379</v>
      </c>
      <c r="K60" s="82" t="str">
        <f t="shared" ca="1" si="1"/>
        <v>Mayor a 60 días</v>
      </c>
      <c r="L60" s="77" t="s">
        <v>176</v>
      </c>
      <c r="M60" s="77" t="s">
        <v>93</v>
      </c>
      <c r="N60" s="77" t="s">
        <v>30</v>
      </c>
      <c r="O60" s="77" t="s">
        <v>31</v>
      </c>
      <c r="P60" s="77" t="s">
        <v>93</v>
      </c>
      <c r="Q60" s="77" t="s">
        <v>143</v>
      </c>
      <c r="R60" s="77" t="s">
        <v>30</v>
      </c>
      <c r="S60" s="77" t="s">
        <v>119</v>
      </c>
      <c r="T60" s="77" t="s">
        <v>60</v>
      </c>
      <c r="U60" s="9" t="s">
        <v>60</v>
      </c>
      <c r="V60" s="9" t="s">
        <v>40</v>
      </c>
      <c r="W60" s="9" t="s">
        <v>40</v>
      </c>
      <c r="X60" s="9"/>
      <c r="Y60" s="85"/>
      <c r="Z60" s="85"/>
      <c r="AA60" s="85"/>
      <c r="AB60" s="85"/>
    </row>
    <row r="61" spans="1:28" hidden="1">
      <c r="A61" s="5" t="s">
        <v>263</v>
      </c>
      <c r="B61" s="6" t="s">
        <v>264</v>
      </c>
      <c r="C61" s="6" t="s">
        <v>26</v>
      </c>
      <c r="D61" s="6" t="s">
        <v>265</v>
      </c>
      <c r="E61" s="6" t="s">
        <v>266</v>
      </c>
      <c r="F61" s="7">
        <v>45594</v>
      </c>
      <c r="G61" s="74">
        <v>45623</v>
      </c>
      <c r="H61" s="74"/>
      <c r="I61" s="74"/>
      <c r="J61" s="83">
        <f t="shared" ca="1" si="0"/>
        <v>376</v>
      </c>
      <c r="K61" s="82" t="str">
        <f t="shared" ca="1" si="1"/>
        <v>Mayor a 60 días</v>
      </c>
      <c r="L61" s="77" t="s">
        <v>29</v>
      </c>
      <c r="M61" s="77" t="s">
        <v>30</v>
      </c>
      <c r="N61" s="77" t="s">
        <v>30</v>
      </c>
      <c r="O61" s="77" t="s">
        <v>31</v>
      </c>
      <c r="P61" s="77" t="s">
        <v>29</v>
      </c>
      <c r="Q61" s="77" t="s">
        <v>32</v>
      </c>
      <c r="R61" s="77" t="s">
        <v>48</v>
      </c>
      <c r="S61" s="77" t="s">
        <v>33</v>
      </c>
      <c r="T61" s="77" t="s">
        <v>34</v>
      </c>
      <c r="U61" s="9" t="s">
        <v>35</v>
      </c>
      <c r="V61" s="9" t="s">
        <v>36</v>
      </c>
      <c r="W61" s="9" t="s">
        <v>1</v>
      </c>
      <c r="X61" s="9"/>
      <c r="Y61" s="85"/>
      <c r="Z61" s="85"/>
      <c r="AA61" s="85"/>
      <c r="AB61" s="85"/>
    </row>
    <row r="62" spans="1:28" hidden="1">
      <c r="A62" s="5" t="s">
        <v>267</v>
      </c>
      <c r="B62" s="14" t="s">
        <v>250</v>
      </c>
      <c r="C62" s="6" t="s">
        <v>26</v>
      </c>
      <c r="D62" s="6" t="s">
        <v>261</v>
      </c>
      <c r="E62" s="6" t="s">
        <v>226</v>
      </c>
      <c r="F62" s="7">
        <v>45594</v>
      </c>
      <c r="G62" s="74">
        <v>45623</v>
      </c>
      <c r="H62" s="74"/>
      <c r="I62" s="74"/>
      <c r="J62" s="83">
        <f t="shared" ca="1" si="0"/>
        <v>376</v>
      </c>
      <c r="K62" s="82" t="str">
        <f t="shared" ca="1" si="1"/>
        <v>Mayor a 60 días</v>
      </c>
      <c r="L62" s="77" t="s">
        <v>30</v>
      </c>
      <c r="M62" s="77" t="s">
        <v>30</v>
      </c>
      <c r="N62" s="77" t="s">
        <v>30</v>
      </c>
      <c r="O62" s="77" t="s">
        <v>30</v>
      </c>
      <c r="P62" s="77" t="s">
        <v>30</v>
      </c>
      <c r="Q62" s="77" t="s">
        <v>30</v>
      </c>
      <c r="R62" s="77" t="s">
        <v>30</v>
      </c>
      <c r="S62" s="77" t="s">
        <v>30</v>
      </c>
      <c r="T62" s="77" t="s">
        <v>34</v>
      </c>
      <c r="U62" s="9" t="s">
        <v>35</v>
      </c>
      <c r="V62" s="9" t="s">
        <v>36</v>
      </c>
      <c r="W62" s="9" t="s">
        <v>215</v>
      </c>
      <c r="X62" s="9"/>
      <c r="Y62" s="85"/>
      <c r="Z62" s="85"/>
      <c r="AA62" s="85"/>
      <c r="AB62" s="85"/>
    </row>
    <row r="63" spans="1:28" hidden="1">
      <c r="A63" s="5" t="s">
        <v>268</v>
      </c>
      <c r="B63" s="6" t="s">
        <v>269</v>
      </c>
      <c r="C63" s="6" t="s">
        <v>26</v>
      </c>
      <c r="D63" s="6" t="s">
        <v>270</v>
      </c>
      <c r="E63" s="6" t="s">
        <v>271</v>
      </c>
      <c r="F63" s="7">
        <v>45595</v>
      </c>
      <c r="G63" s="74">
        <v>45600</v>
      </c>
      <c r="H63" s="74"/>
      <c r="I63" s="74"/>
      <c r="J63" s="83">
        <f t="shared" ca="1" si="0"/>
        <v>375</v>
      </c>
      <c r="K63" s="82" t="str">
        <f t="shared" ca="1" si="1"/>
        <v>Mayor a 60 días</v>
      </c>
      <c r="L63" s="77"/>
      <c r="M63" s="77"/>
      <c r="N63" s="77"/>
      <c r="O63" s="77"/>
      <c r="P63" s="77"/>
      <c r="Q63" s="77"/>
      <c r="R63" s="77"/>
      <c r="S63" s="77"/>
      <c r="T63" s="77" t="s">
        <v>34</v>
      </c>
      <c r="U63" s="9" t="s">
        <v>35</v>
      </c>
      <c r="V63" s="9"/>
      <c r="W63" s="9"/>
      <c r="X63" s="9"/>
      <c r="Y63" s="85"/>
      <c r="Z63" s="85"/>
      <c r="AA63" s="85"/>
      <c r="AB63" s="85"/>
    </row>
    <row r="64" spans="1:28" hidden="1">
      <c r="A64" s="5" t="s">
        <v>272</v>
      </c>
      <c r="B64" s="6" t="s">
        <v>273</v>
      </c>
      <c r="C64" s="6" t="s">
        <v>26</v>
      </c>
      <c r="D64" s="6" t="s">
        <v>274</v>
      </c>
      <c r="E64" s="8" t="s">
        <v>275</v>
      </c>
      <c r="F64" s="7">
        <v>45595</v>
      </c>
      <c r="G64" s="74">
        <v>45625</v>
      </c>
      <c r="H64" s="74"/>
      <c r="I64" s="74"/>
      <c r="J64" s="83">
        <f t="shared" ca="1" si="0"/>
        <v>375</v>
      </c>
      <c r="K64" s="82" t="str">
        <f t="shared" ca="1" si="1"/>
        <v>Mayor a 60 días</v>
      </c>
      <c r="L64" s="77" t="s">
        <v>176</v>
      </c>
      <c r="M64" s="77" t="s">
        <v>29</v>
      </c>
      <c r="N64" s="77" t="s">
        <v>30</v>
      </c>
      <c r="O64" s="77" t="s">
        <v>31</v>
      </c>
      <c r="P64" s="77" t="s">
        <v>29</v>
      </c>
      <c r="Q64" s="77" t="s">
        <v>32</v>
      </c>
      <c r="R64" s="77" t="s">
        <v>30</v>
      </c>
      <c r="S64" s="77" t="s">
        <v>33</v>
      </c>
      <c r="T64" s="77" t="s">
        <v>34</v>
      </c>
      <c r="U64" s="9" t="s">
        <v>35</v>
      </c>
      <c r="V64" s="9"/>
      <c r="W64" s="9"/>
      <c r="X64" s="9"/>
      <c r="Y64" s="85"/>
      <c r="Z64" s="85"/>
      <c r="AA64" s="85"/>
      <c r="AB64" s="85"/>
    </row>
    <row r="65" spans="1:28" ht="20.25" hidden="1">
      <c r="A65" s="5" t="s">
        <v>276</v>
      </c>
      <c r="B65" s="15" t="s">
        <v>277</v>
      </c>
      <c r="C65" s="6" t="s">
        <v>26</v>
      </c>
      <c r="D65" s="15" t="s">
        <v>277</v>
      </c>
      <c r="E65" s="16" t="s">
        <v>278</v>
      </c>
      <c r="F65" s="7">
        <v>45596</v>
      </c>
      <c r="G65" s="74">
        <v>45645</v>
      </c>
      <c r="H65" s="74"/>
      <c r="I65" s="74"/>
      <c r="J65" s="83">
        <f t="shared" ca="1" si="0"/>
        <v>374</v>
      </c>
      <c r="K65" s="82" t="str">
        <f t="shared" ca="1" si="1"/>
        <v>Mayor a 60 días</v>
      </c>
      <c r="L65" s="77" t="s">
        <v>29</v>
      </c>
      <c r="M65" s="77" t="s">
        <v>29</v>
      </c>
      <c r="N65" s="77" t="s">
        <v>30</v>
      </c>
      <c r="O65" s="77" t="s">
        <v>31</v>
      </c>
      <c r="P65" s="77" t="s">
        <v>29</v>
      </c>
      <c r="Q65" s="77" t="s">
        <v>32</v>
      </c>
      <c r="R65" s="77" t="s">
        <v>48</v>
      </c>
      <c r="S65" s="77" t="s">
        <v>30</v>
      </c>
      <c r="T65" s="77" t="s">
        <v>30</v>
      </c>
      <c r="U65" s="9" t="s">
        <v>93</v>
      </c>
      <c r="V65" s="9" t="s">
        <v>36</v>
      </c>
      <c r="W65" s="9" t="s">
        <v>1</v>
      </c>
      <c r="X65" s="9" t="s">
        <v>279</v>
      </c>
      <c r="Y65" s="85"/>
      <c r="Z65" s="85"/>
      <c r="AA65" s="85"/>
      <c r="AB65" s="85"/>
    </row>
    <row r="66" spans="1:28" ht="20.25" hidden="1">
      <c r="A66" s="5" t="s">
        <v>280</v>
      </c>
      <c r="B66" s="15" t="s">
        <v>277</v>
      </c>
      <c r="C66" s="6" t="s">
        <v>26</v>
      </c>
      <c r="D66" s="15" t="s">
        <v>277</v>
      </c>
      <c r="E66" s="16" t="s">
        <v>281</v>
      </c>
      <c r="F66" s="7">
        <v>45596</v>
      </c>
      <c r="G66" s="74">
        <v>45645</v>
      </c>
      <c r="H66" s="74"/>
      <c r="I66" s="74"/>
      <c r="J66" s="83">
        <f t="shared" ca="1" si="0"/>
        <v>374</v>
      </c>
      <c r="K66" s="82" t="str">
        <f t="shared" ca="1" si="1"/>
        <v>Mayor a 60 días</v>
      </c>
      <c r="L66" s="77" t="s">
        <v>29</v>
      </c>
      <c r="M66" s="77" t="s">
        <v>29</v>
      </c>
      <c r="N66" s="77" t="s">
        <v>30</v>
      </c>
      <c r="O66" s="77" t="s">
        <v>31</v>
      </c>
      <c r="P66" s="77" t="s">
        <v>29</v>
      </c>
      <c r="Q66" s="77" t="s">
        <v>32</v>
      </c>
      <c r="R66" s="77" t="s">
        <v>48</v>
      </c>
      <c r="S66" s="77" t="s">
        <v>30</v>
      </c>
      <c r="T66" s="77" t="s">
        <v>30</v>
      </c>
      <c r="U66" s="9" t="s">
        <v>93</v>
      </c>
      <c r="V66" s="9" t="s">
        <v>36</v>
      </c>
      <c r="W66" s="9" t="s">
        <v>1</v>
      </c>
      <c r="X66" s="9" t="s">
        <v>279</v>
      </c>
      <c r="Y66" s="85"/>
      <c r="Z66" s="85"/>
      <c r="AA66" s="85"/>
      <c r="AB66" s="85"/>
    </row>
    <row r="67" spans="1:28" hidden="1">
      <c r="A67" s="5" t="s">
        <v>282</v>
      </c>
      <c r="B67" s="6" t="s">
        <v>283</v>
      </c>
      <c r="C67" s="6" t="s">
        <v>26</v>
      </c>
      <c r="D67" s="6" t="s">
        <v>87</v>
      </c>
      <c r="E67" s="6" t="s">
        <v>284</v>
      </c>
      <c r="F67" s="7">
        <v>45596</v>
      </c>
      <c r="G67" s="74">
        <v>45626</v>
      </c>
      <c r="H67" s="74"/>
      <c r="I67" s="74"/>
      <c r="J67" s="83">
        <f t="shared" ca="1" si="0"/>
        <v>374</v>
      </c>
      <c r="K67" s="82" t="str">
        <f t="shared" ca="1" si="1"/>
        <v>Mayor a 60 días</v>
      </c>
      <c r="L67" s="77" t="s">
        <v>29</v>
      </c>
      <c r="M67" s="77" t="s">
        <v>30</v>
      </c>
      <c r="N67" s="77" t="s">
        <v>30</v>
      </c>
      <c r="O67" s="77" t="s">
        <v>31</v>
      </c>
      <c r="P67" s="77" t="s">
        <v>29</v>
      </c>
      <c r="Q67" s="77" t="s">
        <v>32</v>
      </c>
      <c r="R67" s="77" t="s">
        <v>30</v>
      </c>
      <c r="S67" s="77" t="s">
        <v>33</v>
      </c>
      <c r="T67" s="77" t="s">
        <v>34</v>
      </c>
      <c r="U67" s="9" t="s">
        <v>35</v>
      </c>
      <c r="V67" s="9"/>
      <c r="W67" s="9"/>
      <c r="X67" s="9"/>
      <c r="Y67" s="85"/>
      <c r="Z67" s="85"/>
      <c r="AA67" s="85"/>
      <c r="AB67" s="85"/>
    </row>
    <row r="68" spans="1:28" hidden="1">
      <c r="A68" s="5" t="s">
        <v>285</v>
      </c>
      <c r="B68" s="6" t="s">
        <v>286</v>
      </c>
      <c r="C68" s="6" t="s">
        <v>26</v>
      </c>
      <c r="D68" s="6" t="s">
        <v>204</v>
      </c>
      <c r="E68" s="6" t="s">
        <v>30</v>
      </c>
      <c r="F68" s="7">
        <v>45600</v>
      </c>
      <c r="G68" s="74">
        <v>45602</v>
      </c>
      <c r="H68" s="74"/>
      <c r="I68" s="74"/>
      <c r="J68" s="83">
        <f t="shared" ca="1" si="0"/>
        <v>372</v>
      </c>
      <c r="K68" s="82" t="str">
        <f t="shared" ca="1" si="1"/>
        <v>Mayor a 60 días</v>
      </c>
      <c r="L68" s="77" t="s">
        <v>30</v>
      </c>
      <c r="M68" s="77"/>
      <c r="N68" s="77"/>
      <c r="O68" s="77"/>
      <c r="P68" s="77"/>
      <c r="Q68" s="77"/>
      <c r="R68" s="77"/>
      <c r="S68" s="77"/>
      <c r="T68" s="77" t="s">
        <v>34</v>
      </c>
      <c r="U68" s="9" t="s">
        <v>35</v>
      </c>
      <c r="V68" s="9"/>
      <c r="W68" s="9"/>
      <c r="X68" s="9"/>
      <c r="Y68" s="85"/>
      <c r="Z68" s="85"/>
      <c r="AA68" s="85"/>
      <c r="AB68" s="85"/>
    </row>
    <row r="69" spans="1:28" hidden="1">
      <c r="A69" s="5" t="s">
        <v>287</v>
      </c>
      <c r="B69" s="6" t="s">
        <v>288</v>
      </c>
      <c r="C69" s="6" t="s">
        <v>26</v>
      </c>
      <c r="D69" s="6" t="s">
        <v>289</v>
      </c>
      <c r="E69" s="6" t="s">
        <v>290</v>
      </c>
      <c r="F69" s="7">
        <v>45596</v>
      </c>
      <c r="G69" s="74">
        <v>45626</v>
      </c>
      <c r="H69" s="74"/>
      <c r="I69" s="74"/>
      <c r="J69" s="83">
        <f t="shared" ca="1" si="0"/>
        <v>374</v>
      </c>
      <c r="K69" s="82" t="str">
        <f t="shared" ca="1" si="1"/>
        <v>Mayor a 60 días</v>
      </c>
      <c r="L69" s="77" t="s">
        <v>29</v>
      </c>
      <c r="M69" s="77" t="s">
        <v>30</v>
      </c>
      <c r="N69" s="77" t="s">
        <v>30</v>
      </c>
      <c r="O69" s="77" t="s">
        <v>31</v>
      </c>
      <c r="P69" s="77" t="s">
        <v>29</v>
      </c>
      <c r="Q69" s="77" t="s">
        <v>32</v>
      </c>
      <c r="R69" s="77" t="s">
        <v>30</v>
      </c>
      <c r="S69" s="77" t="s">
        <v>33</v>
      </c>
      <c r="T69" s="77" t="s">
        <v>34</v>
      </c>
      <c r="U69" s="9" t="s">
        <v>35</v>
      </c>
      <c r="V69" s="9"/>
      <c r="W69" s="9"/>
      <c r="X69" s="9"/>
      <c r="Y69" s="85"/>
      <c r="Z69" s="85"/>
      <c r="AA69" s="85"/>
      <c r="AB69" s="85"/>
    </row>
    <row r="70" spans="1:28" hidden="1">
      <c r="A70" s="5" t="s">
        <v>291</v>
      </c>
      <c r="B70" s="6" t="s">
        <v>292</v>
      </c>
      <c r="C70" s="6" t="s">
        <v>26</v>
      </c>
      <c r="D70" s="6" t="s">
        <v>293</v>
      </c>
      <c r="E70" s="8" t="s">
        <v>294</v>
      </c>
      <c r="F70" s="7">
        <v>45615</v>
      </c>
      <c r="G70" s="74">
        <v>45643</v>
      </c>
      <c r="H70" s="74">
        <v>45663</v>
      </c>
      <c r="I70" s="74"/>
      <c r="J70" s="83">
        <f t="shared" ca="1" si="0"/>
        <v>361</v>
      </c>
      <c r="K70" s="82" t="str">
        <f t="shared" ca="1" si="1"/>
        <v>Mayor a 60 días</v>
      </c>
      <c r="L70" s="77" t="s">
        <v>29</v>
      </c>
      <c r="M70" s="77" t="s">
        <v>30</v>
      </c>
      <c r="N70" s="77" t="s">
        <v>30</v>
      </c>
      <c r="O70" s="77" t="s">
        <v>31</v>
      </c>
      <c r="P70" s="77" t="s">
        <v>29</v>
      </c>
      <c r="Q70" s="77" t="s">
        <v>32</v>
      </c>
      <c r="R70" s="77" t="s">
        <v>30</v>
      </c>
      <c r="S70" s="77" t="s">
        <v>33</v>
      </c>
      <c r="T70" s="77" t="s">
        <v>34</v>
      </c>
      <c r="U70" s="9" t="s">
        <v>35</v>
      </c>
      <c r="V70" s="9"/>
      <c r="W70" s="9"/>
      <c r="X70" s="9"/>
      <c r="Y70" s="85"/>
      <c r="Z70" s="85"/>
      <c r="AA70" s="85"/>
      <c r="AB70" s="85"/>
    </row>
    <row r="71" spans="1:28" hidden="1">
      <c r="A71" s="5" t="s">
        <v>295</v>
      </c>
      <c r="B71" s="6" t="s">
        <v>296</v>
      </c>
      <c r="C71" s="6" t="s">
        <v>26</v>
      </c>
      <c r="D71" s="6" t="s">
        <v>297</v>
      </c>
      <c r="E71" s="6" t="s">
        <v>298</v>
      </c>
      <c r="F71" s="7">
        <v>45616</v>
      </c>
      <c r="G71" s="74">
        <v>45623</v>
      </c>
      <c r="H71" s="74">
        <v>45623</v>
      </c>
      <c r="I71" s="74"/>
      <c r="J71" s="83">
        <f t="shared" ca="1" si="0"/>
        <v>360</v>
      </c>
      <c r="K71" s="82" t="str">
        <f t="shared" ca="1" si="1"/>
        <v>Mayor a 60 días</v>
      </c>
      <c r="L71" s="77" t="s">
        <v>30</v>
      </c>
      <c r="M71" s="77" t="s">
        <v>30</v>
      </c>
      <c r="N71" s="77" t="s">
        <v>30</v>
      </c>
      <c r="O71" s="77" t="s">
        <v>30</v>
      </c>
      <c r="P71" s="77" t="s">
        <v>30</v>
      </c>
      <c r="Q71" s="77" t="s">
        <v>32</v>
      </c>
      <c r="R71" s="77" t="s">
        <v>30</v>
      </c>
      <c r="S71" s="77" t="s">
        <v>30</v>
      </c>
      <c r="T71" s="77" t="s">
        <v>34</v>
      </c>
      <c r="U71" s="9" t="s">
        <v>35</v>
      </c>
      <c r="V71" s="9"/>
      <c r="W71" s="9"/>
      <c r="X71" s="9"/>
      <c r="Y71" s="85"/>
      <c r="Z71" s="85"/>
      <c r="AA71" s="85"/>
      <c r="AB71" s="85"/>
    </row>
    <row r="72" spans="1:28" hidden="1">
      <c r="A72" s="5" t="s">
        <v>299</v>
      </c>
      <c r="B72" s="6" t="s">
        <v>300</v>
      </c>
      <c r="C72" s="6" t="s">
        <v>26</v>
      </c>
      <c r="D72" s="6" t="s">
        <v>301</v>
      </c>
      <c r="E72" s="6" t="s">
        <v>302</v>
      </c>
      <c r="F72" s="7">
        <v>45616</v>
      </c>
      <c r="G72" s="74">
        <v>45623</v>
      </c>
      <c r="H72" s="74">
        <v>45623</v>
      </c>
      <c r="I72" s="74"/>
      <c r="J72" s="83">
        <f t="shared" ca="1" si="0"/>
        <v>360</v>
      </c>
      <c r="K72" s="82" t="str">
        <f t="shared" ca="1" si="1"/>
        <v>Mayor a 60 días</v>
      </c>
      <c r="L72" s="77" t="s">
        <v>30</v>
      </c>
      <c r="M72" s="77" t="s">
        <v>30</v>
      </c>
      <c r="N72" s="77" t="s">
        <v>30</v>
      </c>
      <c r="O72" s="77" t="s">
        <v>30</v>
      </c>
      <c r="P72" s="77" t="s">
        <v>30</v>
      </c>
      <c r="Q72" s="77" t="s">
        <v>30</v>
      </c>
      <c r="R72" s="77" t="s">
        <v>30</v>
      </c>
      <c r="S72" s="77" t="s">
        <v>30</v>
      </c>
      <c r="T72" s="77" t="s">
        <v>34</v>
      </c>
      <c r="U72" s="9" t="s">
        <v>35</v>
      </c>
      <c r="V72" s="9"/>
      <c r="W72" s="9"/>
      <c r="X72" s="9"/>
      <c r="Y72" s="85"/>
      <c r="Z72" s="85"/>
      <c r="AA72" s="85"/>
      <c r="AB72" s="85"/>
    </row>
    <row r="73" spans="1:28" hidden="1">
      <c r="A73" s="5" t="s">
        <v>303</v>
      </c>
      <c r="B73" s="6" t="s">
        <v>304</v>
      </c>
      <c r="C73" s="6" t="s">
        <v>26</v>
      </c>
      <c r="D73" s="6" t="s">
        <v>305</v>
      </c>
      <c r="E73" s="8" t="s">
        <v>306</v>
      </c>
      <c r="F73" s="7">
        <v>45617</v>
      </c>
      <c r="G73" s="74">
        <v>45660</v>
      </c>
      <c r="H73" s="74">
        <v>45700</v>
      </c>
      <c r="I73" s="74"/>
      <c r="J73" s="83">
        <f t="shared" ca="1" si="0"/>
        <v>359</v>
      </c>
      <c r="K73" s="82" t="str">
        <f t="shared" ca="1" si="1"/>
        <v>Mayor a 60 días</v>
      </c>
      <c r="L73" s="77" t="s">
        <v>30</v>
      </c>
      <c r="M73" s="77" t="s">
        <v>30</v>
      </c>
      <c r="N73" s="77" t="s">
        <v>30</v>
      </c>
      <c r="O73" s="77" t="s">
        <v>30</v>
      </c>
      <c r="P73" s="77" t="s">
        <v>30</v>
      </c>
      <c r="Q73" s="77" t="s">
        <v>30</v>
      </c>
      <c r="R73" s="77" t="s">
        <v>48</v>
      </c>
      <c r="S73" s="77" t="s">
        <v>30</v>
      </c>
      <c r="T73" s="77" t="s">
        <v>34</v>
      </c>
      <c r="U73" s="9" t="s">
        <v>35</v>
      </c>
      <c r="V73" s="9"/>
      <c r="W73" s="9"/>
      <c r="X73" s="9"/>
      <c r="Y73" s="85"/>
      <c r="Z73" s="85"/>
      <c r="AA73" s="85"/>
      <c r="AB73" s="85"/>
    </row>
    <row r="74" spans="1:28" hidden="1">
      <c r="A74" s="5" t="s">
        <v>307</v>
      </c>
      <c r="B74" s="6" t="s">
        <v>308</v>
      </c>
      <c r="C74" s="6" t="s">
        <v>26</v>
      </c>
      <c r="D74" s="6" t="s">
        <v>309</v>
      </c>
      <c r="E74" s="8" t="s">
        <v>310</v>
      </c>
      <c r="F74" s="7">
        <v>45618</v>
      </c>
      <c r="G74" s="74">
        <v>45649</v>
      </c>
      <c r="H74" s="74">
        <v>45660</v>
      </c>
      <c r="I74" s="74"/>
      <c r="J74" s="83">
        <f t="shared" ca="1" si="0"/>
        <v>358</v>
      </c>
      <c r="K74" s="82" t="str">
        <f t="shared" ca="1" si="1"/>
        <v>Mayor a 60 días</v>
      </c>
      <c r="L74" s="77" t="s">
        <v>29</v>
      </c>
      <c r="M74" s="77" t="s">
        <v>30</v>
      </c>
      <c r="N74" s="77" t="s">
        <v>30</v>
      </c>
      <c r="O74" s="77" t="s">
        <v>31</v>
      </c>
      <c r="P74" s="77" t="s">
        <v>29</v>
      </c>
      <c r="Q74" s="77" t="s">
        <v>30</v>
      </c>
      <c r="R74" s="77" t="s">
        <v>30</v>
      </c>
      <c r="S74" s="77" t="s">
        <v>30</v>
      </c>
      <c r="T74" s="77" t="s">
        <v>34</v>
      </c>
      <c r="U74" s="9" t="s">
        <v>35</v>
      </c>
      <c r="V74" s="9"/>
      <c r="W74" s="9"/>
      <c r="X74" s="9"/>
      <c r="Y74" s="85"/>
      <c r="Z74" s="85"/>
      <c r="AA74" s="85"/>
      <c r="AB74" s="85"/>
    </row>
    <row r="75" spans="1:28" hidden="1">
      <c r="A75" s="5" t="s">
        <v>311</v>
      </c>
      <c r="B75" s="6" t="s">
        <v>312</v>
      </c>
      <c r="C75" s="6" t="s">
        <v>26</v>
      </c>
      <c r="D75" s="6" t="s">
        <v>313</v>
      </c>
      <c r="E75" s="6" t="s">
        <v>30</v>
      </c>
      <c r="F75" s="7">
        <v>45628</v>
      </c>
      <c r="G75" s="74">
        <v>45632</v>
      </c>
      <c r="H75" s="74">
        <v>45660</v>
      </c>
      <c r="I75" s="74"/>
      <c r="J75" s="83">
        <f t="shared" ca="1" si="0"/>
        <v>352</v>
      </c>
      <c r="K75" s="82" t="str">
        <f t="shared" ca="1" si="1"/>
        <v>Mayor a 60 días</v>
      </c>
      <c r="L75" s="77" t="s">
        <v>30</v>
      </c>
      <c r="M75" s="77" t="s">
        <v>30</v>
      </c>
      <c r="N75" s="77" t="s">
        <v>30</v>
      </c>
      <c r="O75" s="77" t="s">
        <v>30</v>
      </c>
      <c r="P75" s="77" t="s">
        <v>30</v>
      </c>
      <c r="Q75" s="77" t="s">
        <v>30</v>
      </c>
      <c r="R75" s="77" t="s">
        <v>30</v>
      </c>
      <c r="S75" s="77" t="s">
        <v>30</v>
      </c>
      <c r="T75" s="77" t="s">
        <v>34</v>
      </c>
      <c r="U75" s="9" t="s">
        <v>35</v>
      </c>
      <c r="V75" s="9"/>
      <c r="W75" s="9"/>
      <c r="X75" s="9"/>
      <c r="Y75" s="85"/>
      <c r="Z75" s="85"/>
      <c r="AA75" s="85"/>
      <c r="AB75" s="85"/>
    </row>
    <row r="76" spans="1:28" hidden="1">
      <c r="A76" s="5" t="s">
        <v>314</v>
      </c>
      <c r="B76" s="6" t="s">
        <v>315</v>
      </c>
      <c r="C76" s="6" t="s">
        <v>58</v>
      </c>
      <c r="D76" s="6" t="s">
        <v>316</v>
      </c>
      <c r="E76" s="8" t="s">
        <v>317</v>
      </c>
      <c r="F76" s="7">
        <v>45628</v>
      </c>
      <c r="G76" s="74">
        <v>45667</v>
      </c>
      <c r="H76" s="74"/>
      <c r="I76" s="74"/>
      <c r="J76" s="83">
        <f t="shared" ca="1" si="0"/>
        <v>352</v>
      </c>
      <c r="K76" s="82" t="str">
        <f t="shared" ca="1" si="1"/>
        <v>Mayor a 60 días</v>
      </c>
      <c r="L76" s="77" t="s">
        <v>318</v>
      </c>
      <c r="M76" s="77"/>
      <c r="N76" s="77"/>
      <c r="O76" s="77" t="s">
        <v>31</v>
      </c>
      <c r="P76" s="77" t="s">
        <v>93</v>
      </c>
      <c r="Q76" s="77" t="s">
        <v>143</v>
      </c>
      <c r="R76" s="77" t="s">
        <v>30</v>
      </c>
      <c r="S76" s="77" t="s">
        <v>119</v>
      </c>
      <c r="T76" s="77" t="s">
        <v>60</v>
      </c>
      <c r="U76" s="9" t="s">
        <v>200</v>
      </c>
      <c r="V76" s="9"/>
      <c r="W76" s="9"/>
      <c r="X76" s="9" t="s">
        <v>319</v>
      </c>
      <c r="Y76" s="85"/>
      <c r="Z76" s="85"/>
      <c r="AA76" s="85"/>
      <c r="AB76" s="85"/>
    </row>
    <row r="77" spans="1:28" hidden="1">
      <c r="A77" s="5" t="s">
        <v>320</v>
      </c>
      <c r="B77" s="6" t="s">
        <v>321</v>
      </c>
      <c r="C77" s="6" t="s">
        <v>26</v>
      </c>
      <c r="D77" s="6" t="s">
        <v>322</v>
      </c>
      <c r="E77" s="8" t="s">
        <v>323</v>
      </c>
      <c r="F77" s="7">
        <v>45630</v>
      </c>
      <c r="G77" s="74">
        <v>45660</v>
      </c>
      <c r="H77" s="74">
        <v>45660</v>
      </c>
      <c r="I77" s="74"/>
      <c r="J77" s="83">
        <f t="shared" ca="1" si="0"/>
        <v>350</v>
      </c>
      <c r="K77" s="82" t="str">
        <f t="shared" ca="1" si="1"/>
        <v>Mayor a 60 días</v>
      </c>
      <c r="L77" s="77" t="s">
        <v>30</v>
      </c>
      <c r="M77" s="77" t="s">
        <v>30</v>
      </c>
      <c r="N77" s="77" t="s">
        <v>30</v>
      </c>
      <c r="O77" s="77" t="s">
        <v>30</v>
      </c>
      <c r="P77" s="77" t="s">
        <v>30</v>
      </c>
      <c r="Q77" s="77" t="s">
        <v>30</v>
      </c>
      <c r="R77" s="77" t="s">
        <v>324</v>
      </c>
      <c r="S77" s="77" t="s">
        <v>30</v>
      </c>
      <c r="T77" s="77" t="s">
        <v>34</v>
      </c>
      <c r="U77" s="9" t="s">
        <v>35</v>
      </c>
      <c r="V77" s="9"/>
      <c r="W77" s="9"/>
      <c r="X77" s="9"/>
      <c r="Y77" s="85"/>
      <c r="Z77" s="85"/>
      <c r="AA77" s="85"/>
      <c r="AB77" s="85"/>
    </row>
    <row r="78" spans="1:28" hidden="1">
      <c r="A78" s="5" t="s">
        <v>325</v>
      </c>
      <c r="B78" s="6" t="s">
        <v>326</v>
      </c>
      <c r="C78" s="6" t="s">
        <v>26</v>
      </c>
      <c r="D78" s="6" t="s">
        <v>327</v>
      </c>
      <c r="E78" s="8" t="s">
        <v>30</v>
      </c>
      <c r="F78" s="7">
        <v>45630</v>
      </c>
      <c r="G78" s="74">
        <v>45660</v>
      </c>
      <c r="H78" s="74">
        <v>45660</v>
      </c>
      <c r="I78" s="74"/>
      <c r="J78" s="83">
        <f t="shared" ca="1" si="0"/>
        <v>350</v>
      </c>
      <c r="K78" s="82" t="str">
        <f t="shared" ca="1" si="1"/>
        <v>Mayor a 60 días</v>
      </c>
      <c r="L78" s="77" t="s">
        <v>30</v>
      </c>
      <c r="M78" s="77" t="s">
        <v>30</v>
      </c>
      <c r="N78" s="77" t="s">
        <v>30</v>
      </c>
      <c r="O78" s="77" t="s">
        <v>30</v>
      </c>
      <c r="P78" s="77" t="s">
        <v>30</v>
      </c>
      <c r="Q78" s="77" t="s">
        <v>30</v>
      </c>
      <c r="R78" s="77" t="s">
        <v>30</v>
      </c>
      <c r="S78" s="77" t="s">
        <v>30</v>
      </c>
      <c r="T78" s="77" t="s">
        <v>34</v>
      </c>
      <c r="U78" s="9" t="s">
        <v>35</v>
      </c>
      <c r="V78" s="9"/>
      <c r="W78" s="9"/>
      <c r="X78" s="9"/>
      <c r="Y78" s="85"/>
      <c r="Z78" s="85"/>
      <c r="AA78" s="85"/>
      <c r="AB78" s="85"/>
    </row>
    <row r="79" spans="1:28" hidden="1">
      <c r="A79" s="5" t="s">
        <v>328</v>
      </c>
      <c r="B79" s="6" t="s">
        <v>326</v>
      </c>
      <c r="C79" s="6" t="s">
        <v>26</v>
      </c>
      <c r="D79" s="6" t="s">
        <v>327</v>
      </c>
      <c r="E79" s="8" t="s">
        <v>30</v>
      </c>
      <c r="F79" s="7">
        <v>45630</v>
      </c>
      <c r="G79" s="74">
        <v>45660</v>
      </c>
      <c r="H79" s="74">
        <v>45660</v>
      </c>
      <c r="I79" s="74"/>
      <c r="J79" s="83">
        <f t="shared" ca="1" si="0"/>
        <v>350</v>
      </c>
      <c r="K79" s="82" t="str">
        <f t="shared" ca="1" si="1"/>
        <v>Mayor a 60 días</v>
      </c>
      <c r="L79" s="77" t="s">
        <v>30</v>
      </c>
      <c r="M79" s="77" t="s">
        <v>30</v>
      </c>
      <c r="N79" s="77" t="s">
        <v>30</v>
      </c>
      <c r="O79" s="77" t="s">
        <v>30</v>
      </c>
      <c r="P79" s="77" t="s">
        <v>30</v>
      </c>
      <c r="Q79" s="77" t="s">
        <v>30</v>
      </c>
      <c r="R79" s="77" t="s">
        <v>30</v>
      </c>
      <c r="S79" s="77" t="s">
        <v>30</v>
      </c>
      <c r="T79" s="77" t="s">
        <v>34</v>
      </c>
      <c r="U79" s="9" t="s">
        <v>35</v>
      </c>
      <c r="V79" s="9"/>
      <c r="W79" s="9"/>
      <c r="X79" s="9"/>
      <c r="Y79" s="85"/>
      <c r="Z79" s="85"/>
      <c r="AA79" s="85"/>
      <c r="AB79" s="85"/>
    </row>
    <row r="80" spans="1:28" hidden="1">
      <c r="A80" s="5" t="s">
        <v>329</v>
      </c>
      <c r="B80" s="6" t="s">
        <v>330</v>
      </c>
      <c r="C80" s="6" t="s">
        <v>26</v>
      </c>
      <c r="D80" s="6" t="s">
        <v>331</v>
      </c>
      <c r="E80" s="6" t="s">
        <v>30</v>
      </c>
      <c r="F80" s="7">
        <v>45632</v>
      </c>
      <c r="G80" s="74">
        <v>45664</v>
      </c>
      <c r="H80" s="74">
        <v>45663</v>
      </c>
      <c r="I80" s="74"/>
      <c r="J80" s="83">
        <f t="shared" ca="1" si="0"/>
        <v>348</v>
      </c>
      <c r="K80" s="82" t="str">
        <f t="shared" ca="1" si="1"/>
        <v>Mayor a 60 días</v>
      </c>
      <c r="L80" s="77" t="s">
        <v>30</v>
      </c>
      <c r="M80" s="77" t="s">
        <v>30</v>
      </c>
      <c r="N80" s="77" t="s">
        <v>30</v>
      </c>
      <c r="O80" s="77" t="s">
        <v>30</v>
      </c>
      <c r="P80" s="77" t="s">
        <v>30</v>
      </c>
      <c r="Q80" s="77" t="s">
        <v>30</v>
      </c>
      <c r="R80" s="77" t="s">
        <v>30</v>
      </c>
      <c r="S80" s="77" t="s">
        <v>30</v>
      </c>
      <c r="T80" s="77" t="s">
        <v>34</v>
      </c>
      <c r="U80" s="9" t="s">
        <v>35</v>
      </c>
      <c r="V80" s="9" t="s">
        <v>49</v>
      </c>
      <c r="W80" s="9" t="s">
        <v>132</v>
      </c>
      <c r="X80" s="9"/>
      <c r="Y80" s="85"/>
      <c r="Z80" s="85"/>
      <c r="AA80" s="85"/>
      <c r="AB80" s="85"/>
    </row>
    <row r="81" spans="1:28" hidden="1">
      <c r="A81" s="5" t="s">
        <v>332</v>
      </c>
      <c r="B81" s="6" t="s">
        <v>333</v>
      </c>
      <c r="C81" s="6" t="s">
        <v>26</v>
      </c>
      <c r="D81" s="6" t="s">
        <v>334</v>
      </c>
      <c r="E81" s="8" t="s">
        <v>30</v>
      </c>
      <c r="F81" s="7">
        <v>45650</v>
      </c>
      <c r="G81" s="74">
        <v>45678</v>
      </c>
      <c r="H81" s="74">
        <v>45664</v>
      </c>
      <c r="I81" s="74"/>
      <c r="J81" s="83">
        <f t="shared" ca="1" si="0"/>
        <v>336</v>
      </c>
      <c r="K81" s="82" t="str">
        <f t="shared" ca="1" si="1"/>
        <v>Mayor a 60 días</v>
      </c>
      <c r="L81" s="77" t="s">
        <v>30</v>
      </c>
      <c r="M81" s="77" t="s">
        <v>30</v>
      </c>
      <c r="N81" s="77" t="s">
        <v>30</v>
      </c>
      <c r="O81" s="77" t="s">
        <v>30</v>
      </c>
      <c r="P81" s="77" t="s">
        <v>30</v>
      </c>
      <c r="Q81" s="77" t="s">
        <v>30</v>
      </c>
      <c r="R81" s="77" t="s">
        <v>30</v>
      </c>
      <c r="S81" s="77" t="s">
        <v>30</v>
      </c>
      <c r="T81" s="77" t="s">
        <v>34</v>
      </c>
      <c r="U81" s="9" t="s">
        <v>35</v>
      </c>
      <c r="V81" s="9"/>
      <c r="W81" s="9"/>
      <c r="X81" s="9"/>
      <c r="Y81" s="85"/>
      <c r="Z81" s="85"/>
      <c r="AA81" s="85"/>
      <c r="AB81" s="85"/>
    </row>
    <row r="82" spans="1:28" hidden="1">
      <c r="A82" s="5" t="s">
        <v>335</v>
      </c>
      <c r="B82" s="6" t="s">
        <v>336</v>
      </c>
      <c r="C82" s="6" t="s">
        <v>26</v>
      </c>
      <c r="D82" s="6" t="s">
        <v>337</v>
      </c>
      <c r="E82" s="8" t="s">
        <v>30</v>
      </c>
      <c r="F82" s="7">
        <v>45652</v>
      </c>
      <c r="G82" s="74">
        <v>45680</v>
      </c>
      <c r="H82" s="74">
        <v>45686</v>
      </c>
      <c r="I82" s="74"/>
      <c r="J82" s="83">
        <f t="shared" ca="1" si="0"/>
        <v>334</v>
      </c>
      <c r="K82" s="82" t="str">
        <f t="shared" ca="1" si="1"/>
        <v>Mayor a 60 días</v>
      </c>
      <c r="L82" s="77" t="s">
        <v>30</v>
      </c>
      <c r="M82" s="77" t="s">
        <v>30</v>
      </c>
      <c r="N82" s="77" t="s">
        <v>30</v>
      </c>
      <c r="O82" s="77" t="s">
        <v>30</v>
      </c>
      <c r="P82" s="77" t="s">
        <v>30</v>
      </c>
      <c r="Q82" s="77" t="s">
        <v>30</v>
      </c>
      <c r="R82" s="77" t="s">
        <v>30</v>
      </c>
      <c r="S82" s="77" t="s">
        <v>30</v>
      </c>
      <c r="T82" s="77" t="s">
        <v>34</v>
      </c>
      <c r="U82" s="9" t="s">
        <v>35</v>
      </c>
      <c r="V82" s="9"/>
      <c r="W82" s="9"/>
      <c r="X82" s="9"/>
      <c r="Y82" s="85"/>
      <c r="Z82" s="85"/>
      <c r="AA82" s="85"/>
      <c r="AB82" s="85"/>
    </row>
    <row r="83" spans="1:28" hidden="1">
      <c r="A83" s="5" t="s">
        <v>338</v>
      </c>
      <c r="B83" s="6" t="s">
        <v>339</v>
      </c>
      <c r="C83" s="6" t="s">
        <v>26</v>
      </c>
      <c r="D83" s="6" t="s">
        <v>340</v>
      </c>
      <c r="E83" s="8" t="s">
        <v>30</v>
      </c>
      <c r="F83" s="7">
        <v>45653</v>
      </c>
      <c r="G83" s="74">
        <v>45657</v>
      </c>
      <c r="H83" s="74">
        <v>45659</v>
      </c>
      <c r="I83" s="74"/>
      <c r="J83" s="83">
        <f t="shared" ca="1" si="0"/>
        <v>333</v>
      </c>
      <c r="K83" s="82" t="str">
        <f t="shared" ca="1" si="1"/>
        <v>Mayor a 60 días</v>
      </c>
      <c r="L83" s="77" t="s">
        <v>30</v>
      </c>
      <c r="M83" s="77" t="s">
        <v>30</v>
      </c>
      <c r="N83" s="77" t="s">
        <v>30</v>
      </c>
      <c r="O83" s="77" t="s">
        <v>30</v>
      </c>
      <c r="P83" s="77" t="s">
        <v>30</v>
      </c>
      <c r="Q83" s="77" t="s">
        <v>30</v>
      </c>
      <c r="R83" s="77" t="s">
        <v>30</v>
      </c>
      <c r="S83" s="77" t="s">
        <v>30</v>
      </c>
      <c r="T83" s="77" t="s">
        <v>34</v>
      </c>
      <c r="U83" s="9" t="s">
        <v>35</v>
      </c>
      <c r="V83" s="9"/>
      <c r="W83" s="9"/>
      <c r="X83" s="9"/>
      <c r="Y83" s="85"/>
      <c r="Z83" s="85"/>
      <c r="AA83" s="85"/>
      <c r="AB83" s="85"/>
    </row>
    <row r="84" spans="1:28" hidden="1">
      <c r="A84" s="5" t="s">
        <v>341</v>
      </c>
      <c r="B84" s="6" t="s">
        <v>342</v>
      </c>
      <c r="C84" s="6" t="s">
        <v>26</v>
      </c>
      <c r="D84" s="6" t="s">
        <v>170</v>
      </c>
      <c r="E84" s="8" t="s">
        <v>30</v>
      </c>
      <c r="F84" s="7">
        <v>45654</v>
      </c>
      <c r="G84" s="74">
        <v>45660</v>
      </c>
      <c r="H84" s="74">
        <v>45665</v>
      </c>
      <c r="I84" s="74"/>
      <c r="J84" s="83">
        <f t="shared" ca="1" si="0"/>
        <v>332</v>
      </c>
      <c r="K84" s="82" t="str">
        <f t="shared" ca="1" si="1"/>
        <v>Mayor a 60 días</v>
      </c>
      <c r="L84" s="77" t="s">
        <v>30</v>
      </c>
      <c r="M84" s="77" t="s">
        <v>30</v>
      </c>
      <c r="N84" s="77" t="s">
        <v>30</v>
      </c>
      <c r="O84" s="77" t="s">
        <v>30</v>
      </c>
      <c r="P84" s="77" t="s">
        <v>30</v>
      </c>
      <c r="Q84" s="77" t="s">
        <v>30</v>
      </c>
      <c r="R84" s="77" t="s">
        <v>30</v>
      </c>
      <c r="S84" s="77" t="s">
        <v>30</v>
      </c>
      <c r="T84" s="77" t="s">
        <v>34</v>
      </c>
      <c r="U84" s="9" t="s">
        <v>35</v>
      </c>
      <c r="V84" s="9"/>
      <c r="W84" s="9"/>
      <c r="X84" s="9" t="s">
        <v>343</v>
      </c>
      <c r="Y84" s="85"/>
      <c r="Z84" s="85"/>
      <c r="AA84" s="85"/>
      <c r="AB84" s="85"/>
    </row>
    <row r="85" spans="1:28" hidden="1">
      <c r="A85" s="5" t="s">
        <v>344</v>
      </c>
      <c r="B85" s="6" t="s">
        <v>345</v>
      </c>
      <c r="C85" s="6" t="s">
        <v>26</v>
      </c>
      <c r="D85" s="6" t="s">
        <v>346</v>
      </c>
      <c r="E85" s="6" t="s">
        <v>347</v>
      </c>
      <c r="F85" s="7">
        <v>45665</v>
      </c>
      <c r="G85" s="74">
        <v>45727</v>
      </c>
      <c r="H85" s="74">
        <v>45726</v>
      </c>
      <c r="I85" s="74"/>
      <c r="J85" s="83">
        <f t="shared" ca="1" si="0"/>
        <v>325</v>
      </c>
      <c r="K85" s="82" t="str">
        <f t="shared" ca="1" si="1"/>
        <v>Mayor a 60 días</v>
      </c>
      <c r="L85" s="77" t="s">
        <v>30</v>
      </c>
      <c r="M85" s="77" t="s">
        <v>30</v>
      </c>
      <c r="N85" s="77" t="s">
        <v>30</v>
      </c>
      <c r="O85" s="77" t="s">
        <v>31</v>
      </c>
      <c r="P85" s="77" t="s">
        <v>29</v>
      </c>
      <c r="Q85" s="77" t="s">
        <v>32</v>
      </c>
      <c r="R85" s="77" t="s">
        <v>30</v>
      </c>
      <c r="S85" s="77" t="s">
        <v>33</v>
      </c>
      <c r="T85" s="77" t="s">
        <v>34</v>
      </c>
      <c r="U85" s="9" t="s">
        <v>35</v>
      </c>
      <c r="V85" s="9"/>
      <c r="W85" s="9"/>
      <c r="X85" s="9"/>
      <c r="Y85" s="85"/>
      <c r="Z85" s="85"/>
      <c r="AA85" s="85"/>
      <c r="AB85" s="85"/>
    </row>
    <row r="86" spans="1:28" hidden="1">
      <c r="A86" s="5" t="s">
        <v>348</v>
      </c>
      <c r="B86" s="6" t="s">
        <v>349</v>
      </c>
      <c r="C86" s="6" t="s">
        <v>58</v>
      </c>
      <c r="D86" s="6" t="s">
        <v>350</v>
      </c>
      <c r="E86" s="6" t="s">
        <v>351</v>
      </c>
      <c r="F86" s="7">
        <v>45666</v>
      </c>
      <c r="G86" s="74">
        <v>45717</v>
      </c>
      <c r="H86" s="74"/>
      <c r="I86" s="74"/>
      <c r="J86" s="83">
        <f t="shared" ca="1" si="0"/>
        <v>324</v>
      </c>
      <c r="K86" s="82" t="str">
        <f t="shared" ca="1" si="1"/>
        <v>Mayor a 60 días</v>
      </c>
      <c r="L86" s="77" t="s">
        <v>176</v>
      </c>
      <c r="M86" s="77" t="s">
        <v>93</v>
      </c>
      <c r="N86" s="77" t="s">
        <v>93</v>
      </c>
      <c r="O86" s="77" t="s">
        <v>31</v>
      </c>
      <c r="P86" s="77" t="s">
        <v>93</v>
      </c>
      <c r="Q86" s="77" t="s">
        <v>32</v>
      </c>
      <c r="R86" s="77" t="s">
        <v>30</v>
      </c>
      <c r="S86" s="77" t="s">
        <v>119</v>
      </c>
      <c r="T86" s="77" t="s">
        <v>200</v>
      </c>
      <c r="U86" s="9" t="s">
        <v>200</v>
      </c>
      <c r="V86" s="9" t="s">
        <v>36</v>
      </c>
      <c r="W86" s="9" t="s">
        <v>1</v>
      </c>
      <c r="X86" s="9"/>
      <c r="Y86" s="85"/>
      <c r="Z86" s="85"/>
      <c r="AA86" s="85"/>
      <c r="AB86" s="85"/>
    </row>
    <row r="87" spans="1:28" hidden="1">
      <c r="A87" s="5" t="s">
        <v>352</v>
      </c>
      <c r="B87" s="6" t="s">
        <v>353</v>
      </c>
      <c r="C87" s="6" t="s">
        <v>58</v>
      </c>
      <c r="D87" s="6" t="s">
        <v>354</v>
      </c>
      <c r="E87" s="6" t="s">
        <v>30</v>
      </c>
      <c r="F87" s="7">
        <v>45666</v>
      </c>
      <c r="G87" s="74">
        <v>45717</v>
      </c>
      <c r="H87" s="74"/>
      <c r="I87" s="74"/>
      <c r="J87" s="83">
        <f t="shared" ca="1" si="0"/>
        <v>324</v>
      </c>
      <c r="K87" s="82" t="str">
        <f t="shared" ca="1" si="1"/>
        <v>Mayor a 60 días</v>
      </c>
      <c r="L87" s="77" t="s">
        <v>176</v>
      </c>
      <c r="M87" s="77" t="s">
        <v>30</v>
      </c>
      <c r="N87" s="77" t="s">
        <v>30</v>
      </c>
      <c r="O87" s="77" t="s">
        <v>31</v>
      </c>
      <c r="P87" s="77" t="s">
        <v>30</v>
      </c>
      <c r="Q87" s="77" t="s">
        <v>30</v>
      </c>
      <c r="R87" s="77" t="s">
        <v>30</v>
      </c>
      <c r="S87" s="77" t="s">
        <v>30</v>
      </c>
      <c r="T87" s="77" t="s">
        <v>200</v>
      </c>
      <c r="U87" s="9" t="s">
        <v>200</v>
      </c>
      <c r="V87" s="9" t="s">
        <v>36</v>
      </c>
      <c r="W87" s="9" t="s">
        <v>1</v>
      </c>
      <c r="X87" s="9"/>
      <c r="Y87" s="85"/>
      <c r="Z87" s="85"/>
      <c r="AA87" s="85"/>
      <c r="AB87" s="85"/>
    </row>
    <row r="88" spans="1:28" hidden="1">
      <c r="A88" s="5" t="s">
        <v>355</v>
      </c>
      <c r="B88" s="6" t="s">
        <v>356</v>
      </c>
      <c r="C88" s="6" t="s">
        <v>58</v>
      </c>
      <c r="D88" s="6" t="s">
        <v>357</v>
      </c>
      <c r="E88" s="6" t="s">
        <v>358</v>
      </c>
      <c r="F88" s="7">
        <v>45666</v>
      </c>
      <c r="G88" s="74">
        <v>45717</v>
      </c>
      <c r="H88" s="74"/>
      <c r="I88" s="74"/>
      <c r="J88" s="83">
        <f t="shared" ca="1" si="0"/>
        <v>324</v>
      </c>
      <c r="K88" s="82" t="str">
        <f t="shared" ca="1" si="1"/>
        <v>Mayor a 60 días</v>
      </c>
      <c r="L88" s="77" t="s">
        <v>30</v>
      </c>
      <c r="M88" s="77" t="s">
        <v>30</v>
      </c>
      <c r="N88" s="77" t="s">
        <v>30</v>
      </c>
      <c r="O88" s="77" t="s">
        <v>31</v>
      </c>
      <c r="P88" s="77" t="s">
        <v>30</v>
      </c>
      <c r="Q88" s="77" t="s">
        <v>30</v>
      </c>
      <c r="R88" s="77" t="s">
        <v>359</v>
      </c>
      <c r="S88" s="77" t="s">
        <v>30</v>
      </c>
      <c r="T88" s="77" t="s">
        <v>200</v>
      </c>
      <c r="U88" s="9" t="s">
        <v>200</v>
      </c>
      <c r="V88" s="9" t="s">
        <v>36</v>
      </c>
      <c r="W88" s="9" t="s">
        <v>1</v>
      </c>
      <c r="X88" s="9"/>
      <c r="Y88" s="85"/>
      <c r="Z88" s="85"/>
      <c r="AA88" s="85"/>
      <c r="AB88" s="85"/>
    </row>
    <row r="89" spans="1:28" ht="20.25" hidden="1">
      <c r="A89" s="5" t="s">
        <v>360</v>
      </c>
      <c r="B89" s="6" t="s">
        <v>361</v>
      </c>
      <c r="C89" s="6" t="s">
        <v>26</v>
      </c>
      <c r="D89" s="6" t="s">
        <v>362</v>
      </c>
      <c r="E89" s="6" t="s">
        <v>363</v>
      </c>
      <c r="F89" s="7">
        <v>45673</v>
      </c>
      <c r="G89" s="74">
        <v>45758</v>
      </c>
      <c r="H89" s="74"/>
      <c r="I89" s="74"/>
      <c r="J89" s="83">
        <f t="shared" ca="1" si="0"/>
        <v>319</v>
      </c>
      <c r="K89" s="82" t="str">
        <f t="shared" ca="1" si="1"/>
        <v>Mayor a 60 días</v>
      </c>
      <c r="L89" s="77" t="s">
        <v>30</v>
      </c>
      <c r="M89" s="77" t="s">
        <v>30</v>
      </c>
      <c r="N89" s="77" t="s">
        <v>30</v>
      </c>
      <c r="O89" s="77" t="s">
        <v>30</v>
      </c>
      <c r="P89" s="77" t="s">
        <v>30</v>
      </c>
      <c r="Q89" s="77" t="s">
        <v>30</v>
      </c>
      <c r="R89" s="77" t="s">
        <v>48</v>
      </c>
      <c r="S89" s="77" t="s">
        <v>30</v>
      </c>
      <c r="T89" s="77" t="s">
        <v>30</v>
      </c>
      <c r="U89" s="9" t="s">
        <v>93</v>
      </c>
      <c r="V89" s="9" t="s">
        <v>17</v>
      </c>
      <c r="W89" s="9" t="s">
        <v>364</v>
      </c>
      <c r="X89" s="9" t="s">
        <v>365</v>
      </c>
      <c r="Y89" s="85"/>
      <c r="Z89" s="85"/>
      <c r="AA89" s="85"/>
      <c r="AB89" s="85"/>
    </row>
    <row r="90" spans="1:28" hidden="1">
      <c r="A90" s="5" t="s">
        <v>366</v>
      </c>
      <c r="B90" s="13" t="s">
        <v>367</v>
      </c>
      <c r="C90" s="6" t="s">
        <v>26</v>
      </c>
      <c r="D90" s="6" t="s">
        <v>334</v>
      </c>
      <c r="E90" s="6" t="s">
        <v>368</v>
      </c>
      <c r="F90" s="7">
        <v>45680</v>
      </c>
      <c r="G90" s="74">
        <v>45708</v>
      </c>
      <c r="H90" s="74">
        <v>45701</v>
      </c>
      <c r="I90" s="74"/>
      <c r="J90" s="83">
        <f t="shared" ca="1" si="0"/>
        <v>314</v>
      </c>
      <c r="K90" s="82" t="str">
        <f t="shared" ca="1" si="1"/>
        <v>Mayor a 60 días</v>
      </c>
      <c r="L90" s="77" t="s">
        <v>30</v>
      </c>
      <c r="M90" s="77" t="s">
        <v>30</v>
      </c>
      <c r="N90" s="77" t="s">
        <v>30</v>
      </c>
      <c r="O90" s="77" t="s">
        <v>30</v>
      </c>
      <c r="P90" s="77" t="s">
        <v>30</v>
      </c>
      <c r="Q90" s="77" t="s">
        <v>30</v>
      </c>
      <c r="R90" s="77" t="s">
        <v>30</v>
      </c>
      <c r="S90" s="77" t="s">
        <v>30</v>
      </c>
      <c r="T90" s="77" t="s">
        <v>34</v>
      </c>
      <c r="U90" s="9" t="s">
        <v>35</v>
      </c>
      <c r="V90" s="9"/>
      <c r="W90" s="9"/>
      <c r="X90" s="9"/>
      <c r="Y90" s="85"/>
      <c r="Z90" s="85"/>
      <c r="AA90" s="85"/>
      <c r="AB90" s="85"/>
    </row>
    <row r="91" spans="1:28" hidden="1">
      <c r="A91" s="5" t="s">
        <v>369</v>
      </c>
      <c r="B91" s="6" t="s">
        <v>370</v>
      </c>
      <c r="C91" s="6" t="s">
        <v>26</v>
      </c>
      <c r="D91" s="6" t="s">
        <v>54</v>
      </c>
      <c r="E91" s="6" t="s">
        <v>371</v>
      </c>
      <c r="F91" s="7">
        <v>45679</v>
      </c>
      <c r="G91" s="74">
        <v>45709</v>
      </c>
      <c r="H91" s="74">
        <v>45695</v>
      </c>
      <c r="I91" s="74"/>
      <c r="J91" s="83">
        <f t="shared" ca="1" si="0"/>
        <v>315</v>
      </c>
      <c r="K91" s="82" t="str">
        <f t="shared" ca="1" si="1"/>
        <v>Mayor a 60 días</v>
      </c>
      <c r="L91" s="77" t="s">
        <v>29</v>
      </c>
      <c r="M91" s="77" t="s">
        <v>30</v>
      </c>
      <c r="N91" s="77" t="s">
        <v>30</v>
      </c>
      <c r="O91" s="77" t="s">
        <v>31</v>
      </c>
      <c r="P91" s="77" t="s">
        <v>29</v>
      </c>
      <c r="Q91" s="77" t="s">
        <v>32</v>
      </c>
      <c r="R91" s="77" t="s">
        <v>30</v>
      </c>
      <c r="S91" s="77" t="s">
        <v>33</v>
      </c>
      <c r="T91" s="77" t="s">
        <v>34</v>
      </c>
      <c r="U91" s="9" t="s">
        <v>35</v>
      </c>
      <c r="V91" s="9"/>
      <c r="W91" s="9"/>
      <c r="X91" s="9"/>
      <c r="Y91" s="85"/>
      <c r="Z91" s="85"/>
      <c r="AA91" s="85"/>
      <c r="AB91" s="85"/>
    </row>
    <row r="92" spans="1:28" hidden="1">
      <c r="A92" s="5" t="s">
        <v>372</v>
      </c>
      <c r="B92" s="6" t="s">
        <v>373</v>
      </c>
      <c r="C92" s="6" t="s">
        <v>26</v>
      </c>
      <c r="D92" s="6" t="s">
        <v>374</v>
      </c>
      <c r="E92" s="6" t="s">
        <v>375</v>
      </c>
      <c r="F92" s="7">
        <v>45692</v>
      </c>
      <c r="G92" s="74">
        <v>45699</v>
      </c>
      <c r="H92" s="74">
        <v>45694</v>
      </c>
      <c r="I92" s="74"/>
      <c r="J92" s="83">
        <f t="shared" ca="1" si="0"/>
        <v>306</v>
      </c>
      <c r="K92" s="82" t="str">
        <f t="shared" ca="1" si="1"/>
        <v>Mayor a 60 días</v>
      </c>
      <c r="L92" s="77" t="s">
        <v>30</v>
      </c>
      <c r="M92" s="77" t="s">
        <v>30</v>
      </c>
      <c r="N92" s="77" t="s">
        <v>30</v>
      </c>
      <c r="O92" s="77" t="s">
        <v>30</v>
      </c>
      <c r="P92" s="77" t="s">
        <v>30</v>
      </c>
      <c r="Q92" s="77" t="s">
        <v>30</v>
      </c>
      <c r="R92" s="77" t="s">
        <v>30</v>
      </c>
      <c r="S92" s="77" t="s">
        <v>30</v>
      </c>
      <c r="T92" s="77" t="s">
        <v>34</v>
      </c>
      <c r="U92" s="9" t="s">
        <v>35</v>
      </c>
      <c r="V92" s="9"/>
      <c r="W92" s="9"/>
      <c r="X92" s="9"/>
      <c r="Y92" s="85"/>
      <c r="Z92" s="85"/>
      <c r="AA92" s="85"/>
      <c r="AB92" s="85"/>
    </row>
    <row r="93" spans="1:28" hidden="1">
      <c r="A93" s="5" t="s">
        <v>376</v>
      </c>
      <c r="B93" s="6" t="s">
        <v>377</v>
      </c>
      <c r="C93" s="6" t="s">
        <v>26</v>
      </c>
      <c r="D93" s="6" t="s">
        <v>378</v>
      </c>
      <c r="E93" s="6" t="s">
        <v>379</v>
      </c>
      <c r="F93" s="7">
        <v>45692</v>
      </c>
      <c r="G93" s="74">
        <v>45721</v>
      </c>
      <c r="H93" s="74">
        <v>45841</v>
      </c>
      <c r="I93" s="74">
        <v>45841</v>
      </c>
      <c r="J93" s="83">
        <f t="shared" ca="1" si="0"/>
        <v>306</v>
      </c>
      <c r="K93" s="82" t="str">
        <f t="shared" ca="1" si="1"/>
        <v>Mayor a 60 días</v>
      </c>
      <c r="L93" s="77" t="s">
        <v>29</v>
      </c>
      <c r="M93" s="77" t="s">
        <v>30</v>
      </c>
      <c r="N93" s="77" t="s">
        <v>30</v>
      </c>
      <c r="O93" s="77" t="s">
        <v>31</v>
      </c>
      <c r="P93" s="77" t="s">
        <v>29</v>
      </c>
      <c r="Q93" s="77" t="s">
        <v>32</v>
      </c>
      <c r="R93" s="77" t="s">
        <v>30</v>
      </c>
      <c r="S93" s="77" t="s">
        <v>30</v>
      </c>
      <c r="T93" s="77" t="s">
        <v>34</v>
      </c>
      <c r="U93" s="9" t="s">
        <v>35</v>
      </c>
      <c r="V93" s="9"/>
      <c r="W93" s="9"/>
      <c r="X93" s="9" t="s">
        <v>380</v>
      </c>
      <c r="Y93" s="85"/>
      <c r="Z93" s="85"/>
      <c r="AA93" s="85"/>
      <c r="AB93" s="85"/>
    </row>
    <row r="94" spans="1:28" hidden="1">
      <c r="A94" s="5" t="s">
        <v>381</v>
      </c>
      <c r="B94" s="6" t="s">
        <v>382</v>
      </c>
      <c r="C94" s="6" t="s">
        <v>26</v>
      </c>
      <c r="D94" s="6" t="s">
        <v>383</v>
      </c>
      <c r="E94" s="6" t="s">
        <v>384</v>
      </c>
      <c r="F94" s="7">
        <v>45692</v>
      </c>
      <c r="G94" s="74">
        <v>45721</v>
      </c>
      <c r="H94" s="74">
        <v>45770</v>
      </c>
      <c r="I94" s="74"/>
      <c r="J94" s="83">
        <f t="shared" ca="1" si="0"/>
        <v>306</v>
      </c>
      <c r="K94" s="82" t="str">
        <f t="shared" ca="1" si="1"/>
        <v>Mayor a 60 días</v>
      </c>
      <c r="L94" s="77" t="s">
        <v>29</v>
      </c>
      <c r="M94" s="77" t="s">
        <v>30</v>
      </c>
      <c r="N94" s="77" t="s">
        <v>30</v>
      </c>
      <c r="O94" s="77" t="s">
        <v>31</v>
      </c>
      <c r="P94" s="77" t="s">
        <v>29</v>
      </c>
      <c r="Q94" s="77" t="s">
        <v>32</v>
      </c>
      <c r="R94" s="77" t="s">
        <v>30</v>
      </c>
      <c r="S94" s="77" t="s">
        <v>33</v>
      </c>
      <c r="T94" s="77" t="s">
        <v>34</v>
      </c>
      <c r="U94" s="9" t="s">
        <v>35</v>
      </c>
      <c r="V94" s="9"/>
      <c r="W94" s="9"/>
      <c r="X94" s="9" t="s">
        <v>380</v>
      </c>
      <c r="Y94" s="85"/>
      <c r="Z94" s="85"/>
      <c r="AA94" s="85"/>
      <c r="AB94" s="85"/>
    </row>
    <row r="95" spans="1:28" hidden="1">
      <c r="A95" s="5" t="s">
        <v>385</v>
      </c>
      <c r="B95" s="6" t="s">
        <v>386</v>
      </c>
      <c r="C95" s="6" t="s">
        <v>26</v>
      </c>
      <c r="D95" s="6" t="s">
        <v>387</v>
      </c>
      <c r="E95" s="6" t="s">
        <v>388</v>
      </c>
      <c r="F95" s="7">
        <v>45687</v>
      </c>
      <c r="G95" s="74">
        <v>45719</v>
      </c>
      <c r="H95" s="74">
        <v>45701</v>
      </c>
      <c r="I95" s="74"/>
      <c r="J95" s="83">
        <f t="shared" ca="1" si="0"/>
        <v>309</v>
      </c>
      <c r="K95" s="82" t="str">
        <f t="shared" ca="1" si="1"/>
        <v>Mayor a 60 días</v>
      </c>
      <c r="L95" s="77" t="s">
        <v>29</v>
      </c>
      <c r="M95" s="77" t="s">
        <v>30</v>
      </c>
      <c r="N95" s="77" t="s">
        <v>30</v>
      </c>
      <c r="O95" s="77" t="s">
        <v>31</v>
      </c>
      <c r="P95" s="77" t="s">
        <v>29</v>
      </c>
      <c r="Q95" s="77" t="s">
        <v>32</v>
      </c>
      <c r="R95" s="77" t="s">
        <v>30</v>
      </c>
      <c r="S95" s="77" t="s">
        <v>33</v>
      </c>
      <c r="T95" s="77" t="s">
        <v>34</v>
      </c>
      <c r="U95" s="9" t="s">
        <v>35</v>
      </c>
      <c r="V95" s="9"/>
      <c r="W95" s="9"/>
      <c r="X95" s="9"/>
      <c r="Y95" s="85"/>
      <c r="Z95" s="85"/>
      <c r="AA95" s="85"/>
      <c r="AB95" s="85"/>
    </row>
    <row r="96" spans="1:28" hidden="1">
      <c r="A96" s="5" t="s">
        <v>389</v>
      </c>
      <c r="B96" s="6" t="s">
        <v>390</v>
      </c>
      <c r="C96" s="6" t="s">
        <v>26</v>
      </c>
      <c r="D96" s="6" t="s">
        <v>334</v>
      </c>
      <c r="E96" s="6" t="s">
        <v>391</v>
      </c>
      <c r="F96" s="7">
        <v>45702</v>
      </c>
      <c r="G96" s="74">
        <v>45723</v>
      </c>
      <c r="H96" s="74">
        <v>46077</v>
      </c>
      <c r="I96" s="74"/>
      <c r="J96" s="83">
        <f t="shared" ca="1" si="0"/>
        <v>298</v>
      </c>
      <c r="K96" s="82" t="str">
        <f t="shared" ca="1" si="1"/>
        <v>Mayor a 60 días</v>
      </c>
      <c r="L96" s="77" t="s">
        <v>30</v>
      </c>
      <c r="M96" s="77" t="s">
        <v>30</v>
      </c>
      <c r="N96" s="77" t="s">
        <v>30</v>
      </c>
      <c r="O96" s="77" t="s">
        <v>30</v>
      </c>
      <c r="P96" s="77" t="s">
        <v>30</v>
      </c>
      <c r="Q96" s="77" t="s">
        <v>30</v>
      </c>
      <c r="R96" s="77" t="s">
        <v>30</v>
      </c>
      <c r="S96" s="77" t="s">
        <v>30</v>
      </c>
      <c r="T96" s="77" t="s">
        <v>34</v>
      </c>
      <c r="U96" s="9" t="s">
        <v>35</v>
      </c>
      <c r="V96" s="9" t="s">
        <v>70</v>
      </c>
      <c r="W96" s="9" t="s">
        <v>111</v>
      </c>
      <c r="X96" s="9"/>
      <c r="Y96" s="85"/>
      <c r="Z96" s="85"/>
      <c r="AA96" s="85"/>
      <c r="AB96" s="85"/>
    </row>
    <row r="97" spans="1:28" hidden="1">
      <c r="A97" s="5" t="s">
        <v>392</v>
      </c>
      <c r="B97" s="6" t="s">
        <v>393</v>
      </c>
      <c r="C97" s="6" t="s">
        <v>26</v>
      </c>
      <c r="D97" s="6" t="s">
        <v>331</v>
      </c>
      <c r="E97" s="6" t="s">
        <v>394</v>
      </c>
      <c r="F97" s="7">
        <v>45706</v>
      </c>
      <c r="G97" s="74">
        <v>45730</v>
      </c>
      <c r="H97" s="74">
        <v>45707</v>
      </c>
      <c r="I97" s="74"/>
      <c r="J97" s="83">
        <f t="shared" ca="1" si="0"/>
        <v>296</v>
      </c>
      <c r="K97" s="82" t="str">
        <f t="shared" ca="1" si="1"/>
        <v>Mayor a 60 días</v>
      </c>
      <c r="L97" s="77" t="s">
        <v>30</v>
      </c>
      <c r="M97" s="77" t="s">
        <v>30</v>
      </c>
      <c r="N97" s="77" t="s">
        <v>30</v>
      </c>
      <c r="O97" s="77" t="s">
        <v>30</v>
      </c>
      <c r="P97" s="77" t="s">
        <v>30</v>
      </c>
      <c r="Q97" s="77" t="s">
        <v>30</v>
      </c>
      <c r="R97" s="77" t="s">
        <v>30</v>
      </c>
      <c r="S97" s="77" t="s">
        <v>30</v>
      </c>
      <c r="T97" s="77" t="s">
        <v>34</v>
      </c>
      <c r="U97" s="9" t="s">
        <v>35</v>
      </c>
      <c r="V97" s="9"/>
      <c r="W97" s="9"/>
      <c r="X97" s="9"/>
      <c r="Y97" s="85"/>
      <c r="Z97" s="85"/>
      <c r="AA97" s="85"/>
      <c r="AB97" s="85"/>
    </row>
    <row r="98" spans="1:28" hidden="1">
      <c r="A98" s="5" t="s">
        <v>395</v>
      </c>
      <c r="B98" s="6" t="s">
        <v>396</v>
      </c>
      <c r="C98" s="6" t="s">
        <v>26</v>
      </c>
      <c r="D98" s="6" t="s">
        <v>397</v>
      </c>
      <c r="E98" s="6" t="s">
        <v>398</v>
      </c>
      <c r="F98" s="7">
        <v>45709</v>
      </c>
      <c r="G98" s="74">
        <v>45736</v>
      </c>
      <c r="H98" s="74">
        <v>45742</v>
      </c>
      <c r="I98" s="74"/>
      <c r="J98" s="83">
        <f t="shared" ca="1" si="0"/>
        <v>293</v>
      </c>
      <c r="K98" s="82" t="str">
        <f t="shared" ca="1" si="1"/>
        <v>Mayor a 60 días</v>
      </c>
      <c r="L98" s="77" t="s">
        <v>30</v>
      </c>
      <c r="M98" s="77" t="s">
        <v>30</v>
      </c>
      <c r="N98" s="77" t="s">
        <v>30</v>
      </c>
      <c r="O98" s="77" t="s">
        <v>30</v>
      </c>
      <c r="P98" s="77" t="s">
        <v>30</v>
      </c>
      <c r="Q98" s="77" t="s">
        <v>32</v>
      </c>
      <c r="R98" s="77" t="s">
        <v>30</v>
      </c>
      <c r="S98" s="77" t="s">
        <v>30</v>
      </c>
      <c r="T98" s="77" t="s">
        <v>34</v>
      </c>
      <c r="U98" s="9" t="s">
        <v>35</v>
      </c>
      <c r="V98" s="9"/>
      <c r="W98" s="9"/>
      <c r="X98" s="9"/>
      <c r="Y98" s="85"/>
      <c r="Z98" s="85"/>
      <c r="AA98" s="85"/>
      <c r="AB98" s="85"/>
    </row>
    <row r="99" spans="1:28" hidden="1">
      <c r="A99" s="5" t="s">
        <v>399</v>
      </c>
      <c r="B99" s="6" t="s">
        <v>308</v>
      </c>
      <c r="C99" s="6" t="s">
        <v>400</v>
      </c>
      <c r="D99" s="6" t="s">
        <v>401</v>
      </c>
      <c r="E99" s="6" t="s">
        <v>30</v>
      </c>
      <c r="F99" s="7">
        <v>45722</v>
      </c>
      <c r="G99" s="74">
        <v>45726</v>
      </c>
      <c r="H99" s="74"/>
      <c r="I99" s="74"/>
      <c r="J99" s="83">
        <f t="shared" ca="1" si="0"/>
        <v>284</v>
      </c>
      <c r="K99" s="82" t="str">
        <f t="shared" ca="1" si="1"/>
        <v>Mayor a 60 días</v>
      </c>
      <c r="L99" s="77" t="s">
        <v>29</v>
      </c>
      <c r="M99" s="77" t="s">
        <v>30</v>
      </c>
      <c r="N99" s="77" t="s">
        <v>30</v>
      </c>
      <c r="O99" s="77" t="s">
        <v>30</v>
      </c>
      <c r="P99" s="77" t="s">
        <v>30</v>
      </c>
      <c r="Q99" s="77" t="s">
        <v>30</v>
      </c>
      <c r="R99" s="77" t="s">
        <v>30</v>
      </c>
      <c r="S99" s="77" t="s">
        <v>30</v>
      </c>
      <c r="T99" s="77" t="s">
        <v>34</v>
      </c>
      <c r="U99" s="9" t="s">
        <v>35</v>
      </c>
      <c r="V99" s="9"/>
      <c r="W99" s="9"/>
      <c r="X99" s="9" t="s">
        <v>402</v>
      </c>
      <c r="Y99" s="85"/>
      <c r="Z99" s="85"/>
      <c r="AA99" s="85"/>
      <c r="AB99" s="85"/>
    </row>
    <row r="100" spans="1:28" ht="20.25" hidden="1">
      <c r="A100" s="5" t="s">
        <v>403</v>
      </c>
      <c r="B100" s="6" t="s">
        <v>404</v>
      </c>
      <c r="C100" s="6" t="s">
        <v>26</v>
      </c>
      <c r="D100" s="6" t="s">
        <v>362</v>
      </c>
      <c r="E100" s="6" t="s">
        <v>405</v>
      </c>
      <c r="F100" s="7">
        <v>45666</v>
      </c>
      <c r="G100" s="74">
        <v>45751</v>
      </c>
      <c r="H100" s="74"/>
      <c r="I100" s="74"/>
      <c r="J100" s="83">
        <f t="shared" ca="1" si="0"/>
        <v>324</v>
      </c>
      <c r="K100" s="82" t="str">
        <f t="shared" ca="1" si="1"/>
        <v>Mayor a 60 días</v>
      </c>
      <c r="L100" s="77" t="s">
        <v>30</v>
      </c>
      <c r="M100" s="77" t="s">
        <v>30</v>
      </c>
      <c r="N100" s="77" t="s">
        <v>30</v>
      </c>
      <c r="O100" s="77" t="s">
        <v>30</v>
      </c>
      <c r="P100" s="77" t="s">
        <v>30</v>
      </c>
      <c r="Q100" s="77" t="s">
        <v>30</v>
      </c>
      <c r="R100" s="77" t="s">
        <v>48</v>
      </c>
      <c r="S100" s="77" t="s">
        <v>30</v>
      </c>
      <c r="T100" s="77" t="s">
        <v>30</v>
      </c>
      <c r="U100" s="9" t="s">
        <v>93</v>
      </c>
      <c r="V100" s="9" t="s">
        <v>17</v>
      </c>
      <c r="W100" s="9" t="s">
        <v>364</v>
      </c>
      <c r="X100" s="9" t="s">
        <v>365</v>
      </c>
      <c r="Y100" s="85"/>
      <c r="Z100" s="85"/>
      <c r="AA100" s="85"/>
      <c r="AB100" s="85"/>
    </row>
    <row r="101" spans="1:28" hidden="1">
      <c r="A101" s="5" t="s">
        <v>406</v>
      </c>
      <c r="B101" s="6" t="s">
        <v>407</v>
      </c>
      <c r="C101" s="6" t="s">
        <v>400</v>
      </c>
      <c r="D101" s="6" t="s">
        <v>346</v>
      </c>
      <c r="E101" s="6" t="s">
        <v>408</v>
      </c>
      <c r="F101" s="7">
        <v>45726</v>
      </c>
      <c r="G101" s="74">
        <v>45812</v>
      </c>
      <c r="H101" s="74"/>
      <c r="I101" s="74"/>
      <c r="J101" s="83">
        <f t="shared" ca="1" si="0"/>
        <v>282</v>
      </c>
      <c r="K101" s="82" t="str">
        <f t="shared" ca="1" si="1"/>
        <v>Mayor a 60 días</v>
      </c>
      <c r="L101" s="77"/>
      <c r="M101" s="77"/>
      <c r="N101" s="77"/>
      <c r="O101" s="77"/>
      <c r="P101" s="77"/>
      <c r="Q101" s="77" t="s">
        <v>32</v>
      </c>
      <c r="R101" s="77" t="s">
        <v>48</v>
      </c>
      <c r="S101" s="77" t="s">
        <v>33</v>
      </c>
      <c r="T101" s="77" t="s">
        <v>34</v>
      </c>
      <c r="U101" s="9" t="s">
        <v>35</v>
      </c>
      <c r="V101" s="9" t="s">
        <v>36</v>
      </c>
      <c r="W101" s="9" t="s">
        <v>1</v>
      </c>
      <c r="X101" s="9"/>
      <c r="Y101" s="85"/>
      <c r="Z101" s="85"/>
      <c r="AA101" s="85"/>
      <c r="AB101" s="85"/>
    </row>
    <row r="102" spans="1:28" hidden="1">
      <c r="A102" s="5" t="s">
        <v>409</v>
      </c>
      <c r="B102" s="6" t="s">
        <v>410</v>
      </c>
      <c r="C102" s="6" t="s">
        <v>400</v>
      </c>
      <c r="D102" s="6" t="s">
        <v>411</v>
      </c>
      <c r="E102" s="6" t="s">
        <v>412</v>
      </c>
      <c r="F102" s="7">
        <v>45727</v>
      </c>
      <c r="G102" s="74">
        <v>45755</v>
      </c>
      <c r="H102" s="74"/>
      <c r="I102" s="74"/>
      <c r="J102" s="83">
        <f t="shared" ca="1" si="0"/>
        <v>281</v>
      </c>
      <c r="K102" s="82" t="str">
        <f t="shared" ca="1" si="1"/>
        <v>Mayor a 60 días</v>
      </c>
      <c r="L102" s="77"/>
      <c r="M102" s="77"/>
      <c r="N102" s="77"/>
      <c r="O102" s="77"/>
      <c r="P102" s="77"/>
      <c r="Q102" s="77"/>
      <c r="R102" s="77"/>
      <c r="S102" s="77"/>
      <c r="T102" s="77" t="s">
        <v>34</v>
      </c>
      <c r="U102" s="9" t="s">
        <v>35</v>
      </c>
      <c r="V102" s="9"/>
      <c r="W102" s="9"/>
      <c r="X102" s="9"/>
      <c r="Y102" s="85"/>
      <c r="Z102" s="85"/>
      <c r="AA102" s="85"/>
      <c r="AB102" s="85"/>
    </row>
    <row r="103" spans="1:28" hidden="1">
      <c r="A103" s="5" t="s">
        <v>413</v>
      </c>
      <c r="B103" s="6" t="s">
        <v>414</v>
      </c>
      <c r="C103" s="6" t="s">
        <v>400</v>
      </c>
      <c r="D103" s="6" t="s">
        <v>415</v>
      </c>
      <c r="E103" s="6" t="s">
        <v>416</v>
      </c>
      <c r="F103" s="7">
        <v>45726</v>
      </c>
      <c r="G103" s="74">
        <v>45754</v>
      </c>
      <c r="H103" s="74"/>
      <c r="I103" s="74"/>
      <c r="J103" s="83">
        <f t="shared" ca="1" si="0"/>
        <v>282</v>
      </c>
      <c r="K103" s="82" t="str">
        <f t="shared" ca="1" si="1"/>
        <v>Mayor a 60 días</v>
      </c>
      <c r="L103" s="77" t="s">
        <v>29</v>
      </c>
      <c r="M103" s="77" t="s">
        <v>30</v>
      </c>
      <c r="N103" s="77" t="s">
        <v>30</v>
      </c>
      <c r="O103" s="77"/>
      <c r="P103" s="77"/>
      <c r="Q103" s="77"/>
      <c r="R103" s="77"/>
      <c r="S103" s="77"/>
      <c r="T103" s="77" t="s">
        <v>34</v>
      </c>
      <c r="U103" s="9" t="s">
        <v>35</v>
      </c>
      <c r="V103" s="9"/>
      <c r="W103" s="9"/>
      <c r="X103" s="9"/>
      <c r="Y103" s="85"/>
      <c r="Z103" s="85"/>
      <c r="AA103" s="85"/>
      <c r="AB103" s="85"/>
    </row>
    <row r="104" spans="1:28" hidden="1">
      <c r="A104" s="5" t="s">
        <v>417</v>
      </c>
      <c r="B104" s="6" t="s">
        <v>418</v>
      </c>
      <c r="C104" s="6" t="s">
        <v>26</v>
      </c>
      <c r="D104" s="6" t="s">
        <v>176</v>
      </c>
      <c r="E104" s="6"/>
      <c r="F104" s="74">
        <v>45740</v>
      </c>
      <c r="G104" s="74">
        <v>45740</v>
      </c>
      <c r="H104" s="74">
        <v>45740</v>
      </c>
      <c r="I104" s="74"/>
      <c r="J104" s="83">
        <f t="shared" ca="1" si="0"/>
        <v>272</v>
      </c>
      <c r="K104" s="82" t="str">
        <f t="shared" ca="1" si="1"/>
        <v>Mayor a 60 días</v>
      </c>
      <c r="L104" s="77" t="s">
        <v>176</v>
      </c>
      <c r="M104" s="77" t="s">
        <v>419</v>
      </c>
      <c r="N104" s="77" t="s">
        <v>30</v>
      </c>
      <c r="O104" s="77"/>
      <c r="P104" s="77"/>
      <c r="Q104" s="77"/>
      <c r="R104" s="77"/>
      <c r="S104" s="77"/>
      <c r="T104" s="77" t="s">
        <v>34</v>
      </c>
      <c r="U104" s="9" t="s">
        <v>35</v>
      </c>
      <c r="V104" s="9"/>
      <c r="W104" s="9"/>
      <c r="X104" s="9"/>
      <c r="Y104" s="85"/>
      <c r="Z104" s="85"/>
      <c r="AA104" s="85"/>
      <c r="AB104" s="85"/>
    </row>
    <row r="105" spans="1:28" hidden="1">
      <c r="A105" s="5" t="s">
        <v>420</v>
      </c>
      <c r="B105" s="6" t="s">
        <v>421</v>
      </c>
      <c r="C105" s="6" t="s">
        <v>26</v>
      </c>
      <c r="D105" s="6" t="s">
        <v>316</v>
      </c>
      <c r="E105" s="6" t="s">
        <v>422</v>
      </c>
      <c r="F105" s="7">
        <v>45729</v>
      </c>
      <c r="G105" s="74">
        <v>45762</v>
      </c>
      <c r="H105" s="74">
        <v>45761</v>
      </c>
      <c r="I105" s="74"/>
      <c r="J105" s="83">
        <f t="shared" ca="1" si="0"/>
        <v>279</v>
      </c>
      <c r="K105" s="82" t="str">
        <f t="shared" ca="1" si="1"/>
        <v>Mayor a 60 días</v>
      </c>
      <c r="L105" s="77" t="s">
        <v>176</v>
      </c>
      <c r="M105" s="77" t="s">
        <v>29</v>
      </c>
      <c r="N105" s="77" t="s">
        <v>30</v>
      </c>
      <c r="O105" s="77" t="s">
        <v>31</v>
      </c>
      <c r="P105" s="77" t="s">
        <v>29</v>
      </c>
      <c r="Q105" s="77" t="s">
        <v>32</v>
      </c>
      <c r="R105" s="77" t="s">
        <v>30</v>
      </c>
      <c r="S105" s="77" t="s">
        <v>33</v>
      </c>
      <c r="T105" s="77" t="s">
        <v>34</v>
      </c>
      <c r="U105" s="9" t="s">
        <v>35</v>
      </c>
      <c r="V105" s="9"/>
      <c r="W105" s="9"/>
      <c r="X105" s="9" t="s">
        <v>423</v>
      </c>
      <c r="Y105" s="85"/>
      <c r="Z105" s="85"/>
      <c r="AA105" s="85"/>
      <c r="AB105" s="85"/>
    </row>
    <row r="106" spans="1:28" hidden="1">
      <c r="A106" s="5" t="s">
        <v>424</v>
      </c>
      <c r="B106" s="6" t="s">
        <v>425</v>
      </c>
      <c r="C106" s="6" t="s">
        <v>26</v>
      </c>
      <c r="D106" s="6" t="s">
        <v>426</v>
      </c>
      <c r="E106" s="6" t="s">
        <v>427</v>
      </c>
      <c r="F106" s="7">
        <v>45730</v>
      </c>
      <c r="G106" s="74">
        <v>45763</v>
      </c>
      <c r="H106" s="74">
        <v>45798</v>
      </c>
      <c r="I106" s="74"/>
      <c r="J106" s="83">
        <f t="shared" ca="1" si="0"/>
        <v>278</v>
      </c>
      <c r="K106" s="82" t="str">
        <f t="shared" ca="1" si="1"/>
        <v>Mayor a 60 días</v>
      </c>
      <c r="L106" s="77" t="s">
        <v>29</v>
      </c>
      <c r="M106" s="77" t="s">
        <v>30</v>
      </c>
      <c r="N106" s="77" t="s">
        <v>30</v>
      </c>
      <c r="O106" s="77" t="s">
        <v>31</v>
      </c>
      <c r="P106" s="77" t="s">
        <v>29</v>
      </c>
      <c r="Q106" s="77" t="s">
        <v>32</v>
      </c>
      <c r="R106" s="77" t="s">
        <v>30</v>
      </c>
      <c r="S106" s="77" t="s">
        <v>33</v>
      </c>
      <c r="T106" s="77" t="s">
        <v>34</v>
      </c>
      <c r="U106" s="9" t="s">
        <v>35</v>
      </c>
      <c r="V106" s="9"/>
      <c r="W106" s="9"/>
      <c r="X106" s="9" t="s">
        <v>428</v>
      </c>
      <c r="Y106" s="85"/>
      <c r="Z106" s="85"/>
      <c r="AA106" s="85"/>
      <c r="AB106" s="85"/>
    </row>
    <row r="107" spans="1:28" hidden="1">
      <c r="A107" s="5" t="s">
        <v>429</v>
      </c>
      <c r="B107" s="6" t="s">
        <v>430</v>
      </c>
      <c r="C107" s="6" t="s">
        <v>26</v>
      </c>
      <c r="D107" s="6" t="s">
        <v>91</v>
      </c>
      <c r="E107" s="6" t="s">
        <v>431</v>
      </c>
      <c r="F107" s="7">
        <v>45740</v>
      </c>
      <c r="G107" s="74">
        <v>45768</v>
      </c>
      <c r="H107" s="74">
        <v>45763</v>
      </c>
      <c r="I107" s="74"/>
      <c r="J107" s="83">
        <f t="shared" ca="1" si="0"/>
        <v>272</v>
      </c>
      <c r="K107" s="82" t="str">
        <f t="shared" ca="1" si="1"/>
        <v>Mayor a 60 días</v>
      </c>
      <c r="L107" s="77" t="s">
        <v>29</v>
      </c>
      <c r="M107" s="77" t="s">
        <v>30</v>
      </c>
      <c r="N107" s="77" t="s">
        <v>30</v>
      </c>
      <c r="O107" s="77" t="s">
        <v>31</v>
      </c>
      <c r="P107" s="77" t="s">
        <v>29</v>
      </c>
      <c r="Q107" s="77" t="s">
        <v>32</v>
      </c>
      <c r="R107" s="77" t="s">
        <v>30</v>
      </c>
      <c r="S107" s="77" t="s">
        <v>33</v>
      </c>
      <c r="T107" s="77" t="s">
        <v>34</v>
      </c>
      <c r="U107" s="9" t="s">
        <v>35</v>
      </c>
      <c r="V107" s="9"/>
      <c r="W107" s="9"/>
      <c r="X107" s="9" t="s">
        <v>432</v>
      </c>
      <c r="Y107" s="85"/>
      <c r="Z107" s="85"/>
      <c r="AA107" s="85"/>
      <c r="AB107" s="85"/>
    </row>
    <row r="108" spans="1:28" hidden="1">
      <c r="A108" s="5" t="s">
        <v>433</v>
      </c>
      <c r="B108" s="6" t="s">
        <v>434</v>
      </c>
      <c r="C108" s="6" t="s">
        <v>26</v>
      </c>
      <c r="D108" s="6" t="s">
        <v>229</v>
      </c>
      <c r="E108" s="6" t="s">
        <v>435</v>
      </c>
      <c r="F108" s="7">
        <v>45741</v>
      </c>
      <c r="G108" s="74">
        <v>45772</v>
      </c>
      <c r="H108" s="74">
        <v>45862</v>
      </c>
      <c r="I108" s="74"/>
      <c r="J108" s="83">
        <f t="shared" ca="1" si="0"/>
        <v>271</v>
      </c>
      <c r="K108" s="82" t="str">
        <f ca="1">IF(J108&lt;30,"Menor a 30 días",IF(J108&lt;60,"Entre 30 y 60 días","Mayor a 60 días"))</f>
        <v>Mayor a 60 días</v>
      </c>
      <c r="L108" s="77" t="s">
        <v>176</v>
      </c>
      <c r="M108" s="77" t="s">
        <v>30</v>
      </c>
      <c r="N108" s="77" t="s">
        <v>30</v>
      </c>
      <c r="O108" s="77" t="s">
        <v>31</v>
      </c>
      <c r="P108" s="77" t="s">
        <v>29</v>
      </c>
      <c r="Q108" s="77" t="s">
        <v>32</v>
      </c>
      <c r="R108" s="77" t="s">
        <v>30</v>
      </c>
      <c r="S108" s="77" t="s">
        <v>33</v>
      </c>
      <c r="T108" s="77" t="s">
        <v>34</v>
      </c>
      <c r="U108" s="9" t="s">
        <v>35</v>
      </c>
      <c r="V108" s="9" t="s">
        <v>36</v>
      </c>
      <c r="W108" s="9" t="s">
        <v>1</v>
      </c>
      <c r="X108" s="9" t="s">
        <v>436</v>
      </c>
      <c r="Y108" s="85"/>
      <c r="Z108" s="85"/>
      <c r="AA108" s="85"/>
      <c r="AB108" s="85"/>
    </row>
    <row r="109" spans="1:28" hidden="1">
      <c r="A109" s="5" t="s">
        <v>437</v>
      </c>
      <c r="B109" s="6" t="s">
        <v>438</v>
      </c>
      <c r="C109" s="6" t="s">
        <v>26</v>
      </c>
      <c r="D109" s="6" t="s">
        <v>439</v>
      </c>
      <c r="E109" s="6" t="s">
        <v>30</v>
      </c>
      <c r="F109" s="7">
        <v>45743</v>
      </c>
      <c r="G109" s="87" t="s">
        <v>30</v>
      </c>
      <c r="H109" s="7">
        <v>45743</v>
      </c>
      <c r="I109" s="87"/>
      <c r="J109" s="83">
        <f t="shared" ca="1" si="0"/>
        <v>269</v>
      </c>
      <c r="K109" s="82" t="str">
        <f t="shared" ref="K109:K110" ca="1" si="2">IF(J109&lt;31,"Menor a 30 días",IF(J109&lt;60,"Entre 30 y 60 días","Mayor a 60 días"))</f>
        <v>Mayor a 60 días</v>
      </c>
      <c r="L109" s="77" t="s">
        <v>176</v>
      </c>
      <c r="M109" s="77" t="s">
        <v>30</v>
      </c>
      <c r="N109" s="77" t="s">
        <v>30</v>
      </c>
      <c r="O109" s="77" t="s">
        <v>30</v>
      </c>
      <c r="P109" s="77" t="s">
        <v>30</v>
      </c>
      <c r="Q109" s="77" t="s">
        <v>30</v>
      </c>
      <c r="R109" s="77" t="s">
        <v>30</v>
      </c>
      <c r="S109" s="77" t="s">
        <v>30</v>
      </c>
      <c r="T109" s="77" t="s">
        <v>34</v>
      </c>
      <c r="U109" s="9" t="s">
        <v>35</v>
      </c>
      <c r="V109" s="9" t="s">
        <v>36</v>
      </c>
      <c r="W109" s="9" t="s">
        <v>50</v>
      </c>
      <c r="X109" s="9" t="s">
        <v>440</v>
      </c>
      <c r="Y109" s="85"/>
      <c r="Z109" s="85"/>
      <c r="AA109" s="85"/>
      <c r="AB109" s="85"/>
    </row>
    <row r="110" spans="1:28" hidden="1">
      <c r="A110" s="5" t="s">
        <v>441</v>
      </c>
      <c r="B110" s="6" t="s">
        <v>442</v>
      </c>
      <c r="C110" s="6" t="s">
        <v>26</v>
      </c>
      <c r="D110" s="6" t="s">
        <v>443</v>
      </c>
      <c r="E110" s="6" t="s">
        <v>30</v>
      </c>
      <c r="F110" s="7">
        <v>45743</v>
      </c>
      <c r="G110" s="74">
        <v>45748</v>
      </c>
      <c r="H110" s="74">
        <v>45747</v>
      </c>
      <c r="I110" s="74"/>
      <c r="J110" s="83">
        <f t="shared" ca="1" si="0"/>
        <v>269</v>
      </c>
      <c r="K110" s="82" t="str">
        <f t="shared" ca="1" si="2"/>
        <v>Mayor a 60 días</v>
      </c>
      <c r="L110" s="77" t="s">
        <v>29</v>
      </c>
      <c r="M110" s="77" t="s">
        <v>30</v>
      </c>
      <c r="N110" s="77" t="s">
        <v>30</v>
      </c>
      <c r="O110" s="77" t="s">
        <v>30</v>
      </c>
      <c r="P110" s="77" t="s">
        <v>30</v>
      </c>
      <c r="Q110" s="77" t="s">
        <v>30</v>
      </c>
      <c r="R110" s="77" t="s">
        <v>30</v>
      </c>
      <c r="S110" s="77" t="s">
        <v>30</v>
      </c>
      <c r="T110" s="77" t="s">
        <v>34</v>
      </c>
      <c r="U110" s="9" t="s">
        <v>35</v>
      </c>
      <c r="V110" s="9" t="s">
        <v>36</v>
      </c>
      <c r="W110" s="9" t="s">
        <v>1</v>
      </c>
      <c r="X110" s="9" t="s">
        <v>444</v>
      </c>
      <c r="Y110" s="85"/>
      <c r="Z110" s="85"/>
      <c r="AA110" s="85"/>
      <c r="AB110" s="85"/>
    </row>
    <row r="111" spans="1:28" hidden="1">
      <c r="A111" s="5" t="s">
        <v>445</v>
      </c>
      <c r="B111" s="12" t="s">
        <v>446</v>
      </c>
      <c r="C111" s="6" t="s">
        <v>26</v>
      </c>
      <c r="D111" s="6" t="s">
        <v>447</v>
      </c>
      <c r="E111" s="6" t="s">
        <v>448</v>
      </c>
      <c r="F111" s="7">
        <v>45743</v>
      </c>
      <c r="G111" s="74">
        <v>45776</v>
      </c>
      <c r="H111" s="74">
        <v>45827</v>
      </c>
      <c r="I111" s="74"/>
      <c r="J111" s="83">
        <f t="shared" ca="1" si="0"/>
        <v>269</v>
      </c>
      <c r="K111" s="82" t="str">
        <f t="shared" ref="K111:K112" ca="1" si="3">IF(J111&lt;30,"Menor a 30 días",IF(J111&lt;60,"Entre 30 y 60 días","Mayor a 60 días"))</f>
        <v>Mayor a 60 días</v>
      </c>
      <c r="L111" s="77" t="s">
        <v>29</v>
      </c>
      <c r="M111" s="77" t="s">
        <v>30</v>
      </c>
      <c r="N111" s="77" t="s">
        <v>30</v>
      </c>
      <c r="O111" s="77" t="s">
        <v>31</v>
      </c>
      <c r="P111" s="77" t="s">
        <v>29</v>
      </c>
      <c r="Q111" s="77" t="s">
        <v>32</v>
      </c>
      <c r="R111" s="77" t="s">
        <v>30</v>
      </c>
      <c r="S111" s="77" t="s">
        <v>33</v>
      </c>
      <c r="T111" s="77" t="s">
        <v>34</v>
      </c>
      <c r="U111" s="9" t="s">
        <v>35</v>
      </c>
      <c r="V111" s="9" t="s">
        <v>36</v>
      </c>
      <c r="W111" s="9" t="s">
        <v>1</v>
      </c>
      <c r="X111" s="9" t="s">
        <v>449</v>
      </c>
      <c r="Y111" s="85"/>
      <c r="Z111" s="85"/>
      <c r="AA111" s="85"/>
      <c r="AB111" s="85"/>
    </row>
    <row r="112" spans="1:28" hidden="1">
      <c r="A112" s="5" t="s">
        <v>450</v>
      </c>
      <c r="B112" s="6" t="s">
        <v>451</v>
      </c>
      <c r="C112" s="6" t="s">
        <v>26</v>
      </c>
      <c r="D112" s="6" t="s">
        <v>91</v>
      </c>
      <c r="E112" s="6" t="s">
        <v>452</v>
      </c>
      <c r="F112" s="7">
        <v>45741</v>
      </c>
      <c r="G112" s="74">
        <v>45772</v>
      </c>
      <c r="H112" s="74">
        <v>45805</v>
      </c>
      <c r="I112" s="74"/>
      <c r="J112" s="83">
        <f t="shared" ca="1" si="0"/>
        <v>271</v>
      </c>
      <c r="K112" s="82" t="str">
        <f t="shared" ca="1" si="3"/>
        <v>Mayor a 60 días</v>
      </c>
      <c r="L112" s="77" t="s">
        <v>29</v>
      </c>
      <c r="M112" s="77" t="s">
        <v>30</v>
      </c>
      <c r="N112" s="77" t="s">
        <v>30</v>
      </c>
      <c r="O112" s="77" t="s">
        <v>31</v>
      </c>
      <c r="P112" s="77" t="s">
        <v>29</v>
      </c>
      <c r="Q112" s="77" t="s">
        <v>32</v>
      </c>
      <c r="R112" s="77" t="s">
        <v>30</v>
      </c>
      <c r="S112" s="77" t="s">
        <v>33</v>
      </c>
      <c r="T112" s="77" t="s">
        <v>34</v>
      </c>
      <c r="U112" s="9" t="s">
        <v>35</v>
      </c>
      <c r="V112" s="9" t="s">
        <v>36</v>
      </c>
      <c r="W112" s="9" t="s">
        <v>1</v>
      </c>
      <c r="X112" s="9" t="s">
        <v>453</v>
      </c>
      <c r="Y112" s="85"/>
      <c r="Z112" s="85"/>
      <c r="AA112" s="85"/>
      <c r="AB112" s="85"/>
    </row>
    <row r="113" spans="1:28" hidden="1">
      <c r="A113" s="5" t="s">
        <v>454</v>
      </c>
      <c r="B113" s="6" t="s">
        <v>455</v>
      </c>
      <c r="C113" s="6" t="s">
        <v>400</v>
      </c>
      <c r="D113" s="6" t="s">
        <v>456</v>
      </c>
      <c r="E113" s="6" t="s">
        <v>457</v>
      </c>
      <c r="F113" s="7">
        <v>45744</v>
      </c>
      <c r="G113" s="74">
        <v>45749</v>
      </c>
      <c r="H113" s="74"/>
      <c r="I113" s="74"/>
      <c r="J113" s="83">
        <f t="shared" ca="1" si="0"/>
        <v>268</v>
      </c>
      <c r="K113" s="82" t="str">
        <f ca="1">IF(J113&lt;31,"Menor a 30 días",IF(J113&lt;60,"Entre 30 y 60 días","Mayor a 60 días"))</f>
        <v>Mayor a 60 días</v>
      </c>
      <c r="L113" s="77" t="s">
        <v>30</v>
      </c>
      <c r="M113" s="77" t="s">
        <v>30</v>
      </c>
      <c r="N113" s="77" t="s">
        <v>30</v>
      </c>
      <c r="O113" s="77" t="s">
        <v>30</v>
      </c>
      <c r="P113" s="77" t="s">
        <v>30</v>
      </c>
      <c r="Q113" s="77" t="s">
        <v>30</v>
      </c>
      <c r="R113" s="77" t="s">
        <v>30</v>
      </c>
      <c r="S113" s="77" t="s">
        <v>30</v>
      </c>
      <c r="T113" s="77" t="s">
        <v>34</v>
      </c>
      <c r="U113" s="9" t="s">
        <v>35</v>
      </c>
      <c r="V113" s="9"/>
      <c r="W113" s="9"/>
      <c r="X113" s="9"/>
      <c r="Y113" s="85"/>
      <c r="Z113" s="85"/>
      <c r="AA113" s="85"/>
      <c r="AB113" s="85"/>
    </row>
    <row r="114" spans="1:28" hidden="1">
      <c r="A114" s="5" t="s">
        <v>458</v>
      </c>
      <c r="B114" s="6" t="s">
        <v>459</v>
      </c>
      <c r="C114" s="6" t="s">
        <v>26</v>
      </c>
      <c r="D114" s="6" t="s">
        <v>460</v>
      </c>
      <c r="E114" s="6" t="s">
        <v>461</v>
      </c>
      <c r="F114" s="7">
        <v>45747</v>
      </c>
      <c r="G114" s="74">
        <v>45779</v>
      </c>
      <c r="H114" s="74">
        <v>45831</v>
      </c>
      <c r="I114" s="74"/>
      <c r="J114" s="83">
        <f t="shared" ca="1" si="0"/>
        <v>267</v>
      </c>
      <c r="K114" s="82" t="str">
        <f t="shared" ref="K114:K115" ca="1" si="4">IF(J114&lt;30,"Menor a 30 días",IF(J114&lt;60,"Entre 30 y 60 días","Mayor a 60 días"))</f>
        <v>Mayor a 60 días</v>
      </c>
      <c r="L114" s="77" t="s">
        <v>176</v>
      </c>
      <c r="M114" s="77" t="s">
        <v>29</v>
      </c>
      <c r="N114" s="77" t="s">
        <v>30</v>
      </c>
      <c r="O114" s="77" t="s">
        <v>31</v>
      </c>
      <c r="P114" s="77" t="s">
        <v>29</v>
      </c>
      <c r="Q114" s="77" t="s">
        <v>32</v>
      </c>
      <c r="R114" s="77" t="s">
        <v>30</v>
      </c>
      <c r="S114" s="77" t="s">
        <v>33</v>
      </c>
      <c r="T114" s="77" t="s">
        <v>34</v>
      </c>
      <c r="U114" s="9" t="s">
        <v>35</v>
      </c>
      <c r="V114" s="9"/>
      <c r="W114" s="9"/>
      <c r="X114" s="9" t="s">
        <v>462</v>
      </c>
      <c r="Y114" s="85"/>
      <c r="Z114" s="85"/>
      <c r="AA114" s="85"/>
      <c r="AB114" s="85"/>
    </row>
    <row r="115" spans="1:28" hidden="1">
      <c r="A115" s="5" t="s">
        <v>463</v>
      </c>
      <c r="B115" s="6" t="s">
        <v>464</v>
      </c>
      <c r="C115" s="6" t="s">
        <v>26</v>
      </c>
      <c r="D115" s="6" t="s">
        <v>460</v>
      </c>
      <c r="E115" s="6" t="s">
        <v>465</v>
      </c>
      <c r="F115" s="7">
        <v>45749</v>
      </c>
      <c r="G115" s="74">
        <v>45783</v>
      </c>
      <c r="H115" s="74">
        <v>45811</v>
      </c>
      <c r="I115" s="74"/>
      <c r="J115" s="83">
        <f t="shared" ca="1" si="0"/>
        <v>265</v>
      </c>
      <c r="K115" s="82" t="str">
        <f t="shared" ca="1" si="4"/>
        <v>Mayor a 60 días</v>
      </c>
      <c r="L115" s="77" t="s">
        <v>29</v>
      </c>
      <c r="M115" s="77" t="s">
        <v>29</v>
      </c>
      <c r="N115" s="77" t="s">
        <v>30</v>
      </c>
      <c r="O115" s="77" t="s">
        <v>31</v>
      </c>
      <c r="P115" s="77" t="s">
        <v>29</v>
      </c>
      <c r="Q115" s="77" t="s">
        <v>32</v>
      </c>
      <c r="R115" s="77" t="s">
        <v>30</v>
      </c>
      <c r="S115" s="77" t="s">
        <v>33</v>
      </c>
      <c r="T115" s="77" t="s">
        <v>34</v>
      </c>
      <c r="U115" s="9" t="s">
        <v>35</v>
      </c>
      <c r="V115" s="9" t="s">
        <v>36</v>
      </c>
      <c r="W115" s="9" t="s">
        <v>1</v>
      </c>
      <c r="X115" s="9" t="s">
        <v>466</v>
      </c>
      <c r="Y115" s="85"/>
      <c r="Z115" s="85"/>
      <c r="AA115" s="85"/>
      <c r="AB115" s="85"/>
    </row>
    <row r="116" spans="1:28" hidden="1">
      <c r="A116" s="5" t="s">
        <v>467</v>
      </c>
      <c r="B116" s="6" t="s">
        <v>468</v>
      </c>
      <c r="C116" s="6" t="s">
        <v>26</v>
      </c>
      <c r="D116" s="6" t="s">
        <v>469</v>
      </c>
      <c r="E116" s="6" t="s">
        <v>470</v>
      </c>
      <c r="F116" s="7">
        <v>45749</v>
      </c>
      <c r="G116" s="74">
        <v>45772</v>
      </c>
      <c r="H116" s="74">
        <v>45761</v>
      </c>
      <c r="I116" s="74"/>
      <c r="J116" s="83">
        <f t="shared" ca="1" si="0"/>
        <v>265</v>
      </c>
      <c r="K116" s="82" t="str">
        <f t="shared" ref="K116:K122" ca="1" si="5">IF(J116&lt;31,"Menor a 30 días",IF(J116&lt;60,"Entre 30 y 60 días","Mayor a 60 días"))</f>
        <v>Mayor a 60 días</v>
      </c>
      <c r="L116" s="77" t="s">
        <v>30</v>
      </c>
      <c r="M116" s="77" t="s">
        <v>30</v>
      </c>
      <c r="N116" s="77" t="s">
        <v>30</v>
      </c>
      <c r="O116" s="77" t="s">
        <v>30</v>
      </c>
      <c r="P116" s="77" t="s">
        <v>30</v>
      </c>
      <c r="Q116" s="77" t="s">
        <v>30</v>
      </c>
      <c r="R116" s="77" t="s">
        <v>48</v>
      </c>
      <c r="S116" s="77" t="s">
        <v>30</v>
      </c>
      <c r="T116" s="77" t="s">
        <v>34</v>
      </c>
      <c r="U116" s="9" t="s">
        <v>35</v>
      </c>
      <c r="V116" s="9"/>
      <c r="W116" s="9"/>
      <c r="X116" s="9"/>
      <c r="Y116" s="85"/>
      <c r="Z116" s="85"/>
      <c r="AA116" s="85"/>
      <c r="AB116" s="85"/>
    </row>
    <row r="117" spans="1:28" hidden="1">
      <c r="A117" s="5" t="s">
        <v>471</v>
      </c>
      <c r="B117" s="6" t="s">
        <v>472</v>
      </c>
      <c r="C117" s="6" t="s">
        <v>400</v>
      </c>
      <c r="D117" s="6" t="s">
        <v>473</v>
      </c>
      <c r="E117" s="6" t="s">
        <v>474</v>
      </c>
      <c r="F117" s="7">
        <v>45749</v>
      </c>
      <c r="G117" s="74">
        <v>45784</v>
      </c>
      <c r="H117" s="74"/>
      <c r="I117" s="74"/>
      <c r="J117" s="83">
        <f t="shared" ca="1" si="0"/>
        <v>265</v>
      </c>
      <c r="K117" s="82" t="str">
        <f t="shared" ca="1" si="5"/>
        <v>Mayor a 60 días</v>
      </c>
      <c r="L117" s="77"/>
      <c r="M117" s="77"/>
      <c r="N117" s="77"/>
      <c r="O117" s="77"/>
      <c r="P117" s="77"/>
      <c r="Q117" s="77"/>
      <c r="R117" s="77"/>
      <c r="S117" s="77"/>
      <c r="T117" s="77" t="s">
        <v>34</v>
      </c>
      <c r="U117" s="9" t="s">
        <v>35</v>
      </c>
      <c r="V117" s="9"/>
      <c r="W117" s="9"/>
      <c r="X117" s="9"/>
      <c r="Y117" s="85"/>
      <c r="Z117" s="85"/>
      <c r="AA117" s="85"/>
      <c r="AB117" s="85"/>
    </row>
    <row r="118" spans="1:28" hidden="1">
      <c r="A118" s="5" t="s">
        <v>475</v>
      </c>
      <c r="B118" s="6" t="s">
        <v>476</v>
      </c>
      <c r="C118" s="6" t="s">
        <v>400</v>
      </c>
      <c r="D118" s="6" t="s">
        <v>123</v>
      </c>
      <c r="E118" s="6" t="s">
        <v>477</v>
      </c>
      <c r="F118" s="7">
        <v>45749</v>
      </c>
      <c r="G118" s="74">
        <v>45756</v>
      </c>
      <c r="H118" s="74"/>
      <c r="I118" s="74"/>
      <c r="J118" s="83">
        <f t="shared" ca="1" si="0"/>
        <v>265</v>
      </c>
      <c r="K118" s="82" t="str">
        <f t="shared" ca="1" si="5"/>
        <v>Mayor a 60 días</v>
      </c>
      <c r="L118" s="77"/>
      <c r="M118" s="77"/>
      <c r="N118" s="77"/>
      <c r="O118" s="77"/>
      <c r="P118" s="77"/>
      <c r="Q118" s="77"/>
      <c r="R118" s="77"/>
      <c r="S118" s="77"/>
      <c r="T118" s="77" t="s">
        <v>34</v>
      </c>
      <c r="U118" s="9" t="s">
        <v>35</v>
      </c>
      <c r="V118" s="9" t="s">
        <v>49</v>
      </c>
      <c r="W118" s="9"/>
      <c r="X118" s="9"/>
      <c r="Y118" s="85"/>
      <c r="Z118" s="85"/>
      <c r="AA118" s="85"/>
      <c r="AB118" s="85"/>
    </row>
    <row r="119" spans="1:28" hidden="1">
      <c r="A119" s="5" t="s">
        <v>478</v>
      </c>
      <c r="B119" s="6" t="s">
        <v>479</v>
      </c>
      <c r="C119" s="6" t="s">
        <v>26</v>
      </c>
      <c r="D119" s="6" t="s">
        <v>480</v>
      </c>
      <c r="E119" s="6" t="s">
        <v>481</v>
      </c>
      <c r="F119" s="7">
        <v>45750</v>
      </c>
      <c r="G119" s="74">
        <v>45758</v>
      </c>
      <c r="H119" s="74">
        <v>45757</v>
      </c>
      <c r="I119" s="74"/>
      <c r="J119" s="83">
        <f t="shared" ca="1" si="0"/>
        <v>264</v>
      </c>
      <c r="K119" s="82" t="str">
        <f t="shared" ca="1" si="5"/>
        <v>Mayor a 60 días</v>
      </c>
      <c r="L119" s="77" t="s">
        <v>30</v>
      </c>
      <c r="M119" s="77" t="s">
        <v>30</v>
      </c>
      <c r="N119" s="77" t="s">
        <v>30</v>
      </c>
      <c r="O119" s="77" t="s">
        <v>30</v>
      </c>
      <c r="P119" s="77" t="s">
        <v>30</v>
      </c>
      <c r="Q119" s="77" t="s">
        <v>30</v>
      </c>
      <c r="R119" s="77" t="s">
        <v>30</v>
      </c>
      <c r="S119" s="77" t="s">
        <v>30</v>
      </c>
      <c r="T119" s="77" t="s">
        <v>34</v>
      </c>
      <c r="U119" s="9" t="s">
        <v>35</v>
      </c>
      <c r="V119" s="9" t="s">
        <v>49</v>
      </c>
      <c r="W119" s="9" t="s">
        <v>364</v>
      </c>
      <c r="X119" s="9" t="s">
        <v>482</v>
      </c>
      <c r="Y119" s="85"/>
      <c r="Z119" s="85"/>
      <c r="AA119" s="85"/>
      <c r="AB119" s="85"/>
    </row>
    <row r="120" spans="1:28" hidden="1">
      <c r="A120" s="5" t="s">
        <v>483</v>
      </c>
      <c r="B120" s="6" t="s">
        <v>484</v>
      </c>
      <c r="C120" s="6" t="s">
        <v>400</v>
      </c>
      <c r="D120" s="6" t="s">
        <v>485</v>
      </c>
      <c r="E120" s="6" t="s">
        <v>30</v>
      </c>
      <c r="F120" s="7">
        <v>45750</v>
      </c>
      <c r="G120" s="74">
        <v>45755</v>
      </c>
      <c r="H120" s="74"/>
      <c r="I120" s="74"/>
      <c r="J120" s="83">
        <f t="shared" ca="1" si="0"/>
        <v>264</v>
      </c>
      <c r="K120" s="82" t="str">
        <f t="shared" ca="1" si="5"/>
        <v>Mayor a 60 días</v>
      </c>
      <c r="L120" s="77"/>
      <c r="M120" s="77"/>
      <c r="N120" s="77"/>
      <c r="O120" s="77"/>
      <c r="P120" s="77"/>
      <c r="Q120" s="77"/>
      <c r="R120" s="77"/>
      <c r="S120" s="77"/>
      <c r="T120" s="77" t="s">
        <v>34</v>
      </c>
      <c r="U120" s="9" t="s">
        <v>35</v>
      </c>
      <c r="V120" s="9"/>
      <c r="W120" s="9"/>
      <c r="X120" s="9"/>
      <c r="Y120" s="85"/>
      <c r="Z120" s="85"/>
      <c r="AA120" s="85"/>
      <c r="AB120" s="85"/>
    </row>
    <row r="121" spans="1:28" hidden="1">
      <c r="A121" s="5" t="s">
        <v>486</v>
      </c>
      <c r="B121" s="6" t="s">
        <v>487</v>
      </c>
      <c r="C121" s="6" t="s">
        <v>400</v>
      </c>
      <c r="D121" s="6" t="s">
        <v>488</v>
      </c>
      <c r="E121" s="6" t="s">
        <v>489</v>
      </c>
      <c r="F121" s="7">
        <v>45750</v>
      </c>
      <c r="G121" s="74">
        <v>45784</v>
      </c>
      <c r="H121" s="74"/>
      <c r="I121" s="74"/>
      <c r="J121" s="83">
        <f t="shared" ca="1" si="0"/>
        <v>264</v>
      </c>
      <c r="K121" s="82" t="str">
        <f t="shared" ca="1" si="5"/>
        <v>Mayor a 60 días</v>
      </c>
      <c r="L121" s="77" t="s">
        <v>29</v>
      </c>
      <c r="M121" s="77" t="s">
        <v>30</v>
      </c>
      <c r="N121" s="77" t="s">
        <v>30</v>
      </c>
      <c r="O121" s="77" t="s">
        <v>31</v>
      </c>
      <c r="P121" s="77" t="s">
        <v>93</v>
      </c>
      <c r="Q121" s="77" t="s">
        <v>143</v>
      </c>
      <c r="R121" s="77" t="s">
        <v>490</v>
      </c>
      <c r="S121" s="77" t="s">
        <v>33</v>
      </c>
      <c r="T121" s="77" t="s">
        <v>34</v>
      </c>
      <c r="U121" s="9" t="s">
        <v>35</v>
      </c>
      <c r="V121" s="9"/>
      <c r="W121" s="9" t="s">
        <v>1</v>
      </c>
      <c r="X121" s="9"/>
      <c r="Y121" s="85"/>
      <c r="Z121" s="85"/>
      <c r="AA121" s="85"/>
      <c r="AB121" s="85"/>
    </row>
    <row r="122" spans="1:28" hidden="1">
      <c r="A122" s="5" t="s">
        <v>491</v>
      </c>
      <c r="B122" s="6" t="s">
        <v>492</v>
      </c>
      <c r="C122" s="6" t="s">
        <v>26</v>
      </c>
      <c r="D122" s="6" t="s">
        <v>493</v>
      </c>
      <c r="E122" s="6" t="s">
        <v>494</v>
      </c>
      <c r="F122" s="7">
        <v>45751</v>
      </c>
      <c r="G122" s="74">
        <v>45785</v>
      </c>
      <c r="H122" s="74">
        <v>45777</v>
      </c>
      <c r="I122" s="74"/>
      <c r="J122" s="83">
        <f t="shared" ca="1" si="0"/>
        <v>263</v>
      </c>
      <c r="K122" s="82" t="str">
        <f t="shared" ca="1" si="5"/>
        <v>Mayor a 60 días</v>
      </c>
      <c r="L122" s="77" t="s">
        <v>29</v>
      </c>
      <c r="M122" s="77" t="s">
        <v>30</v>
      </c>
      <c r="N122" s="77" t="s">
        <v>30</v>
      </c>
      <c r="O122" s="77" t="s">
        <v>31</v>
      </c>
      <c r="P122" s="77" t="s">
        <v>29</v>
      </c>
      <c r="Q122" s="77" t="s">
        <v>30</v>
      </c>
      <c r="R122" s="77" t="s">
        <v>30</v>
      </c>
      <c r="S122" s="77" t="s">
        <v>30</v>
      </c>
      <c r="T122" s="77" t="s">
        <v>34</v>
      </c>
      <c r="U122" s="9" t="s">
        <v>35</v>
      </c>
      <c r="V122" s="9"/>
      <c r="W122" s="9"/>
      <c r="X122" s="9"/>
      <c r="Y122" s="85"/>
      <c r="Z122" s="85"/>
      <c r="AA122" s="85"/>
      <c r="AB122" s="85"/>
    </row>
    <row r="123" spans="1:28" hidden="1">
      <c r="A123" s="5" t="s">
        <v>495</v>
      </c>
      <c r="B123" s="6" t="s">
        <v>496</v>
      </c>
      <c r="C123" s="6" t="s">
        <v>26</v>
      </c>
      <c r="D123" s="6" t="s">
        <v>497</v>
      </c>
      <c r="E123" s="6" t="s">
        <v>498</v>
      </c>
      <c r="F123" s="7">
        <v>45756</v>
      </c>
      <c r="G123" s="74">
        <v>45790</v>
      </c>
      <c r="H123" s="74">
        <v>45821</v>
      </c>
      <c r="I123" s="74"/>
      <c r="J123" s="83">
        <f t="shared" ca="1" si="0"/>
        <v>260</v>
      </c>
      <c r="K123" s="82" t="str">
        <f t="shared" ref="K123:K124" ca="1" si="6">IF(J123&lt;30,"Menor a 30 días",IF(J123&lt;60,"Entre 30 y 60 días","Mayor a 60 días"))</f>
        <v>Mayor a 60 días</v>
      </c>
      <c r="L123" s="77" t="s">
        <v>30</v>
      </c>
      <c r="M123" s="77" t="s">
        <v>30</v>
      </c>
      <c r="N123" s="77" t="s">
        <v>30</v>
      </c>
      <c r="O123" s="77" t="s">
        <v>30</v>
      </c>
      <c r="P123" s="77" t="s">
        <v>30</v>
      </c>
      <c r="Q123" s="77" t="s">
        <v>30</v>
      </c>
      <c r="R123" s="77" t="s">
        <v>48</v>
      </c>
      <c r="S123" s="77" t="s">
        <v>30</v>
      </c>
      <c r="T123" s="77" t="s">
        <v>34</v>
      </c>
      <c r="U123" s="9" t="s">
        <v>35</v>
      </c>
      <c r="V123" s="9" t="s">
        <v>49</v>
      </c>
      <c r="W123" s="9" t="s">
        <v>80</v>
      </c>
      <c r="X123" s="9" t="s">
        <v>499</v>
      </c>
      <c r="Y123" s="85"/>
      <c r="Z123" s="85"/>
      <c r="AA123" s="85"/>
      <c r="AB123" s="85"/>
    </row>
    <row r="124" spans="1:28" hidden="1">
      <c r="A124" s="5" t="s">
        <v>500</v>
      </c>
      <c r="B124" s="6" t="s">
        <v>501</v>
      </c>
      <c r="C124" s="6" t="s">
        <v>26</v>
      </c>
      <c r="D124" s="6" t="s">
        <v>502</v>
      </c>
      <c r="E124" s="6" t="s">
        <v>30</v>
      </c>
      <c r="F124" s="7">
        <v>45762</v>
      </c>
      <c r="G124" s="74">
        <v>45791</v>
      </c>
      <c r="H124" s="74">
        <v>45958</v>
      </c>
      <c r="I124" s="74">
        <v>45958</v>
      </c>
      <c r="J124" s="83">
        <f t="shared" ca="1" si="0"/>
        <v>256</v>
      </c>
      <c r="K124" s="82" t="str">
        <f t="shared" ca="1" si="6"/>
        <v>Mayor a 60 días</v>
      </c>
      <c r="L124" s="77" t="s">
        <v>30</v>
      </c>
      <c r="M124" s="77" t="s">
        <v>30</v>
      </c>
      <c r="N124" s="77" t="s">
        <v>30</v>
      </c>
      <c r="O124" s="77" t="s">
        <v>30</v>
      </c>
      <c r="P124" s="77" t="s">
        <v>30</v>
      </c>
      <c r="Q124" s="77" t="s">
        <v>32</v>
      </c>
      <c r="R124" s="77" t="s">
        <v>30</v>
      </c>
      <c r="S124" s="77" t="s">
        <v>30</v>
      </c>
      <c r="T124" s="77" t="s">
        <v>34</v>
      </c>
      <c r="U124" s="9" t="s">
        <v>35</v>
      </c>
      <c r="V124" s="9"/>
      <c r="W124" s="9"/>
      <c r="X124" s="9" t="s">
        <v>503</v>
      </c>
      <c r="Y124" s="85"/>
      <c r="Z124" s="85"/>
      <c r="AA124" s="85"/>
      <c r="AB124" s="85"/>
    </row>
    <row r="125" spans="1:28" hidden="1">
      <c r="A125" s="5" t="s">
        <v>504</v>
      </c>
      <c r="B125" s="17" t="s">
        <v>505</v>
      </c>
      <c r="C125" s="17" t="s">
        <v>400</v>
      </c>
      <c r="D125" s="17" t="s">
        <v>96</v>
      </c>
      <c r="E125" s="17" t="s">
        <v>506</v>
      </c>
      <c r="F125" s="18">
        <v>45749</v>
      </c>
      <c r="G125" s="74"/>
      <c r="H125" s="74"/>
      <c r="I125" s="74"/>
      <c r="J125" s="83">
        <f t="shared" ca="1" si="0"/>
        <v>265</v>
      </c>
      <c r="K125" s="82" t="str">
        <f t="shared" ref="K125:K129" ca="1" si="7">IF(J125&lt;31,"Menor a 30 días",IF(J125&lt;60,"Entre 30 y 60 días","Mayor a 60 días"))</f>
        <v>Mayor a 60 días</v>
      </c>
      <c r="L125" s="77" t="s">
        <v>30</v>
      </c>
      <c r="M125" s="77" t="s">
        <v>30</v>
      </c>
      <c r="N125" s="77" t="s">
        <v>30</v>
      </c>
      <c r="O125" s="77" t="s">
        <v>30</v>
      </c>
      <c r="P125" s="77" t="s">
        <v>29</v>
      </c>
      <c r="Q125" s="77" t="s">
        <v>30</v>
      </c>
      <c r="R125" s="77" t="s">
        <v>48</v>
      </c>
      <c r="S125" s="77" t="s">
        <v>33</v>
      </c>
      <c r="T125" s="77" t="s">
        <v>34</v>
      </c>
      <c r="U125" s="9" t="s">
        <v>35</v>
      </c>
      <c r="V125" s="9" t="s">
        <v>17</v>
      </c>
      <c r="W125" s="9" t="s">
        <v>1</v>
      </c>
      <c r="X125" s="9" t="s">
        <v>507</v>
      </c>
      <c r="Y125" s="85"/>
      <c r="Z125" s="85"/>
      <c r="AA125" s="85"/>
      <c r="AB125" s="85"/>
    </row>
    <row r="126" spans="1:28" hidden="1">
      <c r="A126" s="5" t="s">
        <v>508</v>
      </c>
      <c r="B126" s="17" t="s">
        <v>509</v>
      </c>
      <c r="C126" s="17" t="s">
        <v>400</v>
      </c>
      <c r="D126" s="17" t="s">
        <v>460</v>
      </c>
      <c r="E126" s="17" t="s">
        <v>510</v>
      </c>
      <c r="F126" s="18">
        <v>45756</v>
      </c>
      <c r="G126" s="83"/>
      <c r="H126" s="83"/>
      <c r="I126" s="83"/>
      <c r="J126" s="83">
        <f t="shared" ca="1" si="0"/>
        <v>260</v>
      </c>
      <c r="K126" s="82" t="str">
        <f t="shared" ca="1" si="7"/>
        <v>Mayor a 60 días</v>
      </c>
      <c r="L126" s="77" t="s">
        <v>29</v>
      </c>
      <c r="M126" s="77" t="s">
        <v>30</v>
      </c>
      <c r="N126" s="77" t="s">
        <v>30</v>
      </c>
      <c r="O126" s="77" t="s">
        <v>142</v>
      </c>
      <c r="P126" s="77" t="s">
        <v>142</v>
      </c>
      <c r="Q126" s="77" t="s">
        <v>30</v>
      </c>
      <c r="R126" s="77" t="s">
        <v>30</v>
      </c>
      <c r="S126" s="77" t="s">
        <v>30</v>
      </c>
      <c r="T126" s="77" t="s">
        <v>34</v>
      </c>
      <c r="U126" s="9" t="s">
        <v>35</v>
      </c>
      <c r="V126" s="9" t="s">
        <v>36</v>
      </c>
      <c r="W126" s="9" t="s">
        <v>1</v>
      </c>
      <c r="X126" s="9" t="s">
        <v>511</v>
      </c>
      <c r="Y126" s="85"/>
      <c r="Z126" s="85"/>
      <c r="AA126" s="85"/>
      <c r="AB126" s="85"/>
    </row>
    <row r="127" spans="1:28" hidden="1">
      <c r="A127" s="5" t="s">
        <v>512</v>
      </c>
      <c r="B127" s="105" t="s">
        <v>513</v>
      </c>
      <c r="C127" s="17" t="s">
        <v>400</v>
      </c>
      <c r="D127" s="17" t="s">
        <v>514</v>
      </c>
      <c r="E127" s="17" t="s">
        <v>515</v>
      </c>
      <c r="F127" s="19">
        <v>45763</v>
      </c>
      <c r="G127" s="100">
        <v>45799</v>
      </c>
      <c r="H127" s="100"/>
      <c r="I127" s="100"/>
      <c r="J127" s="83">
        <f t="shared" ca="1" si="0"/>
        <v>255</v>
      </c>
      <c r="K127" s="82" t="str">
        <f t="shared" ca="1" si="7"/>
        <v>Mayor a 60 días</v>
      </c>
      <c r="L127" s="77" t="s">
        <v>30</v>
      </c>
      <c r="M127" s="77" t="s">
        <v>30</v>
      </c>
      <c r="N127" s="77" t="s">
        <v>30</v>
      </c>
      <c r="O127" s="77" t="s">
        <v>142</v>
      </c>
      <c r="P127" s="77" t="s">
        <v>142</v>
      </c>
      <c r="Q127" s="77" t="s">
        <v>30</v>
      </c>
      <c r="R127" s="77" t="s">
        <v>48</v>
      </c>
      <c r="S127" s="77" t="s">
        <v>33</v>
      </c>
      <c r="T127" s="77" t="s">
        <v>34</v>
      </c>
      <c r="U127" s="9" t="s">
        <v>35</v>
      </c>
      <c r="V127" s="9" t="s">
        <v>40</v>
      </c>
      <c r="W127" s="9" t="s">
        <v>132</v>
      </c>
      <c r="X127" s="9"/>
      <c r="Y127" s="85"/>
      <c r="Z127" s="85"/>
      <c r="AA127" s="85"/>
      <c r="AB127" s="85"/>
    </row>
    <row r="128" spans="1:28" hidden="1">
      <c r="A128" s="5" t="s">
        <v>516</v>
      </c>
      <c r="B128" s="17" t="s">
        <v>517</v>
      </c>
      <c r="C128" s="17" t="s">
        <v>400</v>
      </c>
      <c r="D128" s="17" t="s">
        <v>518</v>
      </c>
      <c r="E128" s="17" t="s">
        <v>519</v>
      </c>
      <c r="F128" s="18">
        <v>45768</v>
      </c>
      <c r="G128" s="83"/>
      <c r="H128" s="83"/>
      <c r="I128" s="83"/>
      <c r="J128" s="83">
        <f t="shared" ca="1" si="0"/>
        <v>252</v>
      </c>
      <c r="K128" s="82" t="str">
        <f t="shared" ca="1" si="7"/>
        <v>Mayor a 60 días</v>
      </c>
      <c r="L128" s="77" t="s">
        <v>30</v>
      </c>
      <c r="M128" s="77" t="s">
        <v>30</v>
      </c>
      <c r="N128" s="77" t="s">
        <v>30</v>
      </c>
      <c r="O128" s="77" t="s">
        <v>142</v>
      </c>
      <c r="P128" s="77" t="s">
        <v>142</v>
      </c>
      <c r="Q128" s="77" t="s">
        <v>30</v>
      </c>
      <c r="R128" s="77" t="s">
        <v>359</v>
      </c>
      <c r="S128" s="77" t="s">
        <v>30</v>
      </c>
      <c r="T128" s="77" t="s">
        <v>34</v>
      </c>
      <c r="U128" s="9" t="s">
        <v>35</v>
      </c>
      <c r="V128" s="9" t="s">
        <v>40</v>
      </c>
      <c r="W128" s="9" t="s">
        <v>132</v>
      </c>
      <c r="X128" s="9"/>
      <c r="Y128" s="85"/>
      <c r="Z128" s="85"/>
      <c r="AA128" s="85"/>
      <c r="AB128" s="85"/>
    </row>
    <row r="129" spans="1:28" hidden="1">
      <c r="A129" s="5" t="s">
        <v>520</v>
      </c>
      <c r="B129" s="17" t="s">
        <v>521</v>
      </c>
      <c r="C129" s="17" t="s">
        <v>400</v>
      </c>
      <c r="D129" s="17" t="s">
        <v>518</v>
      </c>
      <c r="E129" s="17" t="s">
        <v>522</v>
      </c>
      <c r="F129" s="18">
        <v>45768</v>
      </c>
      <c r="G129" s="83"/>
      <c r="H129" s="83"/>
      <c r="I129" s="83"/>
      <c r="J129" s="83">
        <f t="shared" ca="1" si="0"/>
        <v>252</v>
      </c>
      <c r="K129" s="82" t="str">
        <f t="shared" ca="1" si="7"/>
        <v>Mayor a 60 días</v>
      </c>
      <c r="L129" s="77" t="s">
        <v>30</v>
      </c>
      <c r="M129" s="77" t="s">
        <v>30</v>
      </c>
      <c r="N129" s="77" t="s">
        <v>30</v>
      </c>
      <c r="O129" s="77" t="s">
        <v>142</v>
      </c>
      <c r="P129" s="77" t="s">
        <v>142</v>
      </c>
      <c r="Q129" s="77" t="s">
        <v>30</v>
      </c>
      <c r="R129" s="77" t="s">
        <v>359</v>
      </c>
      <c r="S129" s="77" t="s">
        <v>30</v>
      </c>
      <c r="T129" s="77" t="s">
        <v>34</v>
      </c>
      <c r="U129" s="9" t="s">
        <v>35</v>
      </c>
      <c r="V129" s="9" t="s">
        <v>40</v>
      </c>
      <c r="W129" s="9" t="s">
        <v>132</v>
      </c>
      <c r="X129" s="9"/>
      <c r="Y129" s="85"/>
      <c r="Z129" s="85"/>
      <c r="AA129" s="85"/>
      <c r="AB129" s="85"/>
    </row>
    <row r="130" spans="1:28" hidden="1">
      <c r="A130" s="5" t="s">
        <v>523</v>
      </c>
      <c r="B130" s="17" t="s">
        <v>524</v>
      </c>
      <c r="C130" s="17" t="s">
        <v>26</v>
      </c>
      <c r="D130" s="17" t="s">
        <v>525</v>
      </c>
      <c r="E130" s="17" t="s">
        <v>526</v>
      </c>
      <c r="F130" s="20">
        <v>45768</v>
      </c>
      <c r="G130" s="20">
        <v>45799</v>
      </c>
      <c r="H130" s="20">
        <v>45811</v>
      </c>
      <c r="I130" s="20"/>
      <c r="J130" s="83">
        <f t="shared" ca="1" si="0"/>
        <v>252</v>
      </c>
      <c r="K130" s="82" t="str">
        <f ca="1">IF(J130&lt;30,"Menor a 30 días",IF(J130&lt;60,"Entre 30 y 60 días","Mayor a 60 días"))</f>
        <v>Mayor a 60 días</v>
      </c>
      <c r="L130" s="77" t="s">
        <v>29</v>
      </c>
      <c r="M130" s="77" t="s">
        <v>30</v>
      </c>
      <c r="N130" s="77" t="s">
        <v>30</v>
      </c>
      <c r="O130" s="77" t="s">
        <v>31</v>
      </c>
      <c r="P130" s="77" t="s">
        <v>93</v>
      </c>
      <c r="Q130" s="77" t="s">
        <v>32</v>
      </c>
      <c r="R130" s="77" t="s">
        <v>490</v>
      </c>
      <c r="S130" s="77" t="s">
        <v>33</v>
      </c>
      <c r="T130" s="77" t="s">
        <v>34</v>
      </c>
      <c r="U130" s="9" t="s">
        <v>35</v>
      </c>
      <c r="V130" s="9" t="s">
        <v>40</v>
      </c>
      <c r="W130" s="9" t="s">
        <v>40</v>
      </c>
      <c r="X130" s="9"/>
      <c r="Y130" s="85"/>
      <c r="Z130" s="85"/>
      <c r="AA130" s="85"/>
      <c r="AB130" s="85"/>
    </row>
    <row r="131" spans="1:28" hidden="1">
      <c r="A131" s="5" t="s">
        <v>527</v>
      </c>
      <c r="B131" s="17" t="s">
        <v>528</v>
      </c>
      <c r="C131" s="17" t="s">
        <v>400</v>
      </c>
      <c r="D131" s="17" t="s">
        <v>96</v>
      </c>
      <c r="E131" s="17" t="s">
        <v>529</v>
      </c>
      <c r="F131" s="20">
        <v>45772</v>
      </c>
      <c r="G131" s="17"/>
      <c r="H131" s="17"/>
      <c r="I131" s="20">
        <v>45793</v>
      </c>
      <c r="J131" s="83">
        <f t="shared" ca="1" si="0"/>
        <v>248</v>
      </c>
      <c r="K131" s="82" t="str">
        <f ca="1">IF(J131&lt;31,"Menor a 30 días",IF(J131&lt;60,"Entre 30 y 60 días","Mayor a 60 días"))</f>
        <v>Mayor a 60 días</v>
      </c>
      <c r="L131" s="77"/>
      <c r="M131" s="77"/>
      <c r="N131" s="77"/>
      <c r="O131" s="77"/>
      <c r="P131" s="77"/>
      <c r="Q131" s="77"/>
      <c r="R131" s="77"/>
      <c r="S131" s="77"/>
      <c r="T131" s="77" t="s">
        <v>34</v>
      </c>
      <c r="U131" s="9" t="s">
        <v>35</v>
      </c>
      <c r="V131" s="9"/>
      <c r="W131" s="9"/>
      <c r="X131" s="9"/>
      <c r="Y131" s="85"/>
      <c r="Z131" s="85"/>
      <c r="AA131" s="85"/>
      <c r="AB131" s="85"/>
    </row>
    <row r="132" spans="1:28" hidden="1">
      <c r="A132" s="5" t="s">
        <v>530</v>
      </c>
      <c r="B132" s="17" t="s">
        <v>531</v>
      </c>
      <c r="C132" s="17" t="s">
        <v>26</v>
      </c>
      <c r="D132" s="17" t="s">
        <v>532</v>
      </c>
      <c r="E132" s="17" t="s">
        <v>30</v>
      </c>
      <c r="F132" s="20">
        <v>45777</v>
      </c>
      <c r="G132" s="20">
        <v>45785</v>
      </c>
      <c r="H132" s="20">
        <v>45803</v>
      </c>
      <c r="I132" s="20"/>
      <c r="J132" s="83">
        <f t="shared" ca="1" si="0"/>
        <v>245</v>
      </c>
      <c r="K132" s="82" t="str">
        <f t="shared" ref="K132:K141" ca="1" si="8">IF(J132&lt;30,"Menor a 30 días",IF(J132&lt;60,"Entre 30 y 60 días","Mayor a 60 días"))</f>
        <v>Mayor a 60 días</v>
      </c>
      <c r="L132" s="77" t="s">
        <v>30</v>
      </c>
      <c r="M132" s="77" t="s">
        <v>30</v>
      </c>
      <c r="N132" s="77" t="s">
        <v>30</v>
      </c>
      <c r="O132" s="77" t="s">
        <v>30</v>
      </c>
      <c r="P132" s="77" t="s">
        <v>30</v>
      </c>
      <c r="Q132" s="77" t="s">
        <v>30</v>
      </c>
      <c r="R132" s="77" t="s">
        <v>30</v>
      </c>
      <c r="S132" s="77" t="s">
        <v>33</v>
      </c>
      <c r="T132" s="77" t="s">
        <v>34</v>
      </c>
      <c r="U132" s="9" t="s">
        <v>35</v>
      </c>
      <c r="V132" s="9" t="s">
        <v>36</v>
      </c>
      <c r="W132" s="9" t="s">
        <v>1</v>
      </c>
      <c r="X132" s="9" t="s">
        <v>533</v>
      </c>
      <c r="Y132" s="85"/>
      <c r="Z132" s="85"/>
      <c r="AA132" s="85"/>
      <c r="AB132" s="85"/>
    </row>
    <row r="133" spans="1:28" hidden="1">
      <c r="A133" s="5" t="s">
        <v>534</v>
      </c>
      <c r="B133" s="17" t="s">
        <v>535</v>
      </c>
      <c r="C133" s="17" t="s">
        <v>26</v>
      </c>
      <c r="D133" s="17" t="s">
        <v>536</v>
      </c>
      <c r="E133" s="17" t="s">
        <v>30</v>
      </c>
      <c r="F133" s="20">
        <v>45782</v>
      </c>
      <c r="G133" s="20">
        <v>45785</v>
      </c>
      <c r="H133" s="20">
        <v>45783</v>
      </c>
      <c r="I133" s="20"/>
      <c r="J133" s="83">
        <f t="shared" ca="1" si="0"/>
        <v>242</v>
      </c>
      <c r="K133" s="82" t="str">
        <f t="shared" ca="1" si="8"/>
        <v>Mayor a 60 días</v>
      </c>
      <c r="L133" s="77" t="s">
        <v>30</v>
      </c>
      <c r="M133" s="77" t="s">
        <v>30</v>
      </c>
      <c r="N133" s="77" t="s">
        <v>30</v>
      </c>
      <c r="O133" s="77" t="s">
        <v>30</v>
      </c>
      <c r="P133" s="77" t="s">
        <v>30</v>
      </c>
      <c r="Q133" s="77" t="s">
        <v>30</v>
      </c>
      <c r="R133" s="77" t="s">
        <v>30</v>
      </c>
      <c r="S133" s="77" t="s">
        <v>30</v>
      </c>
      <c r="T133" s="77" t="s">
        <v>34</v>
      </c>
      <c r="U133" s="9" t="s">
        <v>35</v>
      </c>
      <c r="V133" s="9"/>
      <c r="W133" s="9"/>
      <c r="X133" s="9"/>
      <c r="Y133" s="85"/>
      <c r="Z133" s="85"/>
      <c r="AA133" s="85"/>
      <c r="AB133" s="85"/>
    </row>
    <row r="134" spans="1:28" hidden="1">
      <c r="A134" s="5" t="s">
        <v>537</v>
      </c>
      <c r="B134" s="105" t="s">
        <v>538</v>
      </c>
      <c r="C134" s="17" t="s">
        <v>400</v>
      </c>
      <c r="D134" s="17" t="s">
        <v>539</v>
      </c>
      <c r="E134" s="17" t="s">
        <v>540</v>
      </c>
      <c r="F134" s="20">
        <v>45784</v>
      </c>
      <c r="G134" s="20">
        <v>45819</v>
      </c>
      <c r="H134" s="20"/>
      <c r="I134" s="20">
        <v>45840</v>
      </c>
      <c r="J134" s="83">
        <f ca="1">NETWORKDAYS(F134,TODAY())</f>
        <v>240</v>
      </c>
      <c r="K134" s="82" t="str">
        <f t="shared" ca="1" si="8"/>
        <v>Mayor a 60 días</v>
      </c>
      <c r="L134" s="77" t="s">
        <v>29</v>
      </c>
      <c r="M134" s="77" t="s">
        <v>30</v>
      </c>
      <c r="N134" s="77" t="s">
        <v>30</v>
      </c>
      <c r="O134" s="77" t="s">
        <v>31</v>
      </c>
      <c r="P134" s="77" t="s">
        <v>29</v>
      </c>
      <c r="Q134" s="77" t="s">
        <v>32</v>
      </c>
      <c r="R134" s="77" t="s">
        <v>48</v>
      </c>
      <c r="S134" s="77" t="s">
        <v>33</v>
      </c>
      <c r="T134" s="77" t="s">
        <v>34</v>
      </c>
      <c r="U134" s="9" t="s">
        <v>35</v>
      </c>
      <c r="V134" s="9"/>
      <c r="W134" s="9"/>
      <c r="X134" s="9"/>
      <c r="Y134" s="85"/>
      <c r="Z134" s="85"/>
      <c r="AA134" s="85"/>
      <c r="AB134" s="85"/>
    </row>
    <row r="135" spans="1:28" hidden="1">
      <c r="A135" s="5" t="s">
        <v>541</v>
      </c>
      <c r="B135" s="17" t="s">
        <v>542</v>
      </c>
      <c r="C135" s="17" t="s">
        <v>400</v>
      </c>
      <c r="D135" s="17" t="s">
        <v>543</v>
      </c>
      <c r="E135" s="17" t="s">
        <v>544</v>
      </c>
      <c r="F135" s="20">
        <v>45784</v>
      </c>
      <c r="G135" s="20">
        <v>45789</v>
      </c>
      <c r="H135" s="20"/>
      <c r="I135" s="20">
        <v>45798</v>
      </c>
      <c r="J135" s="83">
        <f t="shared" ca="1" si="0"/>
        <v>240</v>
      </c>
      <c r="K135" s="82" t="str">
        <f t="shared" ca="1" si="8"/>
        <v>Mayor a 60 días</v>
      </c>
      <c r="L135" s="77" t="s">
        <v>545</v>
      </c>
      <c r="M135" s="77"/>
      <c r="N135" s="77"/>
      <c r="O135" s="77"/>
      <c r="P135" s="77"/>
      <c r="Q135" s="77"/>
      <c r="R135" s="77"/>
      <c r="S135" s="77"/>
      <c r="T135" s="77" t="s">
        <v>34</v>
      </c>
      <c r="U135" s="9" t="s">
        <v>35</v>
      </c>
      <c r="V135" s="9"/>
      <c r="W135" s="9"/>
      <c r="X135" s="9"/>
      <c r="Y135" s="85"/>
      <c r="Z135" s="85"/>
      <c r="AA135" s="85"/>
      <c r="AB135" s="85"/>
    </row>
    <row r="136" spans="1:28" hidden="1">
      <c r="A136" s="5" t="s">
        <v>546</v>
      </c>
      <c r="B136" s="17" t="s">
        <v>547</v>
      </c>
      <c r="C136" s="17" t="s">
        <v>26</v>
      </c>
      <c r="D136" s="17" t="s">
        <v>548</v>
      </c>
      <c r="E136" s="17" t="s">
        <v>30</v>
      </c>
      <c r="F136" s="20">
        <v>45785</v>
      </c>
      <c r="G136" s="20">
        <v>45816</v>
      </c>
      <c r="H136" s="20">
        <v>45789</v>
      </c>
      <c r="I136" s="20"/>
      <c r="J136" s="83">
        <f t="shared" ca="1" si="0"/>
        <v>239</v>
      </c>
      <c r="K136" s="82" t="str">
        <f t="shared" ca="1" si="8"/>
        <v>Mayor a 60 días</v>
      </c>
      <c r="L136" s="77" t="s">
        <v>176</v>
      </c>
      <c r="M136" s="77" t="s">
        <v>30</v>
      </c>
      <c r="N136" s="77" t="s">
        <v>30</v>
      </c>
      <c r="O136" s="77" t="s">
        <v>142</v>
      </c>
      <c r="P136" s="77" t="s">
        <v>142</v>
      </c>
      <c r="Q136" s="77" t="s">
        <v>30</v>
      </c>
      <c r="R136" s="77" t="s">
        <v>30</v>
      </c>
      <c r="S136" s="77" t="s">
        <v>30</v>
      </c>
      <c r="T136" s="77" t="s">
        <v>34</v>
      </c>
      <c r="U136" s="9" t="s">
        <v>35</v>
      </c>
      <c r="V136" s="9"/>
      <c r="W136" s="9"/>
      <c r="X136" s="9"/>
      <c r="Y136" s="85"/>
      <c r="Z136" s="85"/>
      <c r="AA136" s="85"/>
      <c r="AB136" s="85"/>
    </row>
    <row r="137" spans="1:28" hidden="1">
      <c r="A137" s="5" t="s">
        <v>549</v>
      </c>
      <c r="B137" s="17" t="s">
        <v>550</v>
      </c>
      <c r="C137" s="17" t="s">
        <v>26</v>
      </c>
      <c r="D137" s="17" t="s">
        <v>551</v>
      </c>
      <c r="E137" s="17" t="s">
        <v>552</v>
      </c>
      <c r="F137" s="20">
        <v>45783</v>
      </c>
      <c r="G137" s="20">
        <v>45812</v>
      </c>
      <c r="H137" s="20">
        <v>45810</v>
      </c>
      <c r="I137" s="20"/>
      <c r="J137" s="83">
        <f t="shared" ca="1" si="0"/>
        <v>241</v>
      </c>
      <c r="K137" s="82" t="str">
        <f t="shared" ca="1" si="8"/>
        <v>Mayor a 60 días</v>
      </c>
      <c r="L137" s="77" t="s">
        <v>29</v>
      </c>
      <c r="M137" s="77" t="s">
        <v>30</v>
      </c>
      <c r="N137" s="77" t="s">
        <v>30</v>
      </c>
      <c r="O137" s="77" t="s">
        <v>31</v>
      </c>
      <c r="P137" s="77" t="s">
        <v>29</v>
      </c>
      <c r="Q137" s="77" t="s">
        <v>32</v>
      </c>
      <c r="R137" s="77" t="s">
        <v>30</v>
      </c>
      <c r="S137" s="77" t="s">
        <v>33</v>
      </c>
      <c r="T137" s="77" t="s">
        <v>34</v>
      </c>
      <c r="U137" s="9" t="s">
        <v>35</v>
      </c>
      <c r="V137" s="9"/>
      <c r="W137" s="9"/>
      <c r="X137" s="9" t="s">
        <v>553</v>
      </c>
      <c r="Y137" s="85"/>
      <c r="Z137" s="85"/>
      <c r="AA137" s="85"/>
      <c r="AB137" s="85"/>
    </row>
    <row r="138" spans="1:28" hidden="1">
      <c r="A138" s="5" t="s">
        <v>554</v>
      </c>
      <c r="B138" s="104" t="s">
        <v>555</v>
      </c>
      <c r="C138" s="104" t="s">
        <v>400</v>
      </c>
      <c r="D138" s="104" t="s">
        <v>556</v>
      </c>
      <c r="E138" s="17" t="s">
        <v>557</v>
      </c>
      <c r="F138" s="18">
        <v>45791</v>
      </c>
      <c r="G138" s="20"/>
      <c r="H138" s="20"/>
      <c r="I138" s="20">
        <v>45831</v>
      </c>
      <c r="J138" s="83">
        <f ca="1">NETWORKDAYS(F138,TODAY())</f>
        <v>235</v>
      </c>
      <c r="K138" s="82" t="str">
        <f t="shared" ca="1" si="8"/>
        <v>Mayor a 60 días</v>
      </c>
      <c r="L138" s="77" t="s">
        <v>29</v>
      </c>
      <c r="M138" s="77" t="s">
        <v>30</v>
      </c>
      <c r="N138" s="77" t="s">
        <v>30</v>
      </c>
      <c r="O138" s="77" t="s">
        <v>31</v>
      </c>
      <c r="P138" s="77" t="s">
        <v>29</v>
      </c>
      <c r="Q138" s="77" t="s">
        <v>32</v>
      </c>
      <c r="R138" s="77" t="s">
        <v>30</v>
      </c>
      <c r="S138" s="77" t="s">
        <v>33</v>
      </c>
      <c r="T138" s="77" t="s">
        <v>34</v>
      </c>
      <c r="U138" s="9" t="s">
        <v>35</v>
      </c>
      <c r="V138" s="9"/>
      <c r="W138" s="9"/>
      <c r="X138" s="9"/>
      <c r="Y138" s="85"/>
      <c r="Z138" s="85"/>
      <c r="AA138" s="85"/>
      <c r="AB138" s="85"/>
    </row>
    <row r="139" spans="1:28" hidden="1">
      <c r="A139" s="5" t="s">
        <v>558</v>
      </c>
      <c r="B139" s="105" t="s">
        <v>559</v>
      </c>
      <c r="C139" s="17" t="s">
        <v>26</v>
      </c>
      <c r="D139" s="17" t="s">
        <v>556</v>
      </c>
      <c r="E139" s="17" t="s">
        <v>560</v>
      </c>
      <c r="F139" s="20">
        <v>45791</v>
      </c>
      <c r="G139" s="20">
        <v>45819</v>
      </c>
      <c r="H139" s="20">
        <v>45821</v>
      </c>
      <c r="I139" s="20"/>
      <c r="J139" s="83">
        <f t="shared" ca="1" si="0"/>
        <v>235</v>
      </c>
      <c r="K139" s="82" t="str">
        <f t="shared" ca="1" si="8"/>
        <v>Mayor a 60 días</v>
      </c>
      <c r="L139" s="77" t="s">
        <v>176</v>
      </c>
      <c r="M139" s="77" t="s">
        <v>30</v>
      </c>
      <c r="N139" s="77" t="s">
        <v>30</v>
      </c>
      <c r="O139" s="77" t="s">
        <v>31</v>
      </c>
      <c r="P139" s="77" t="s">
        <v>29</v>
      </c>
      <c r="Q139" s="77" t="s">
        <v>32</v>
      </c>
      <c r="R139" s="77" t="s">
        <v>30</v>
      </c>
      <c r="S139" s="77" t="s">
        <v>33</v>
      </c>
      <c r="T139" s="77" t="s">
        <v>34</v>
      </c>
      <c r="U139" s="9" t="s">
        <v>35</v>
      </c>
      <c r="V139" s="9"/>
      <c r="W139" s="9"/>
      <c r="X139" s="9"/>
      <c r="Y139" s="85"/>
      <c r="Z139" s="85"/>
      <c r="AA139" s="85"/>
      <c r="AB139" s="85"/>
    </row>
    <row r="140" spans="1:28" ht="13.5" hidden="1">
      <c r="A140" s="5" t="s">
        <v>561</v>
      </c>
      <c r="B140" s="17" t="s">
        <v>562</v>
      </c>
      <c r="C140" s="17" t="s">
        <v>400</v>
      </c>
      <c r="D140" s="17" t="s">
        <v>563</v>
      </c>
      <c r="E140" s="17" t="s">
        <v>564</v>
      </c>
      <c r="F140" s="20">
        <v>45799</v>
      </c>
      <c r="G140" s="20">
        <v>45838</v>
      </c>
      <c r="H140" s="20"/>
      <c r="I140" s="20">
        <v>45839</v>
      </c>
      <c r="J140" s="83">
        <f t="shared" ca="1" si="0"/>
        <v>229</v>
      </c>
      <c r="K140" s="82" t="str">
        <f t="shared" ca="1" si="8"/>
        <v>Mayor a 60 días</v>
      </c>
      <c r="L140" s="77" t="s">
        <v>29</v>
      </c>
      <c r="M140" s="77" t="s">
        <v>30</v>
      </c>
      <c r="N140" s="77" t="s">
        <v>30</v>
      </c>
      <c r="O140" s="77" t="s">
        <v>31</v>
      </c>
      <c r="P140" s="77" t="s">
        <v>29</v>
      </c>
      <c r="Q140" s="77" t="s">
        <v>32</v>
      </c>
      <c r="R140" s="77" t="s">
        <v>30</v>
      </c>
      <c r="S140" s="77" t="s">
        <v>30</v>
      </c>
      <c r="T140" s="77" t="s">
        <v>34</v>
      </c>
      <c r="U140" s="9" t="s">
        <v>35</v>
      </c>
      <c r="V140" s="9" t="s">
        <v>36</v>
      </c>
      <c r="W140" s="9" t="s">
        <v>111</v>
      </c>
      <c r="X140" s="112" t="s">
        <v>565</v>
      </c>
      <c r="Y140" s="85"/>
      <c r="Z140" s="85"/>
      <c r="AA140" s="85"/>
      <c r="AB140" s="85"/>
    </row>
    <row r="141" spans="1:28" ht="13.5" hidden="1">
      <c r="A141" s="5" t="s">
        <v>566</v>
      </c>
      <c r="B141" s="104" t="s">
        <v>567</v>
      </c>
      <c r="C141" s="104" t="s">
        <v>400</v>
      </c>
      <c r="D141" s="104" t="s">
        <v>568</v>
      </c>
      <c r="E141" s="17" t="s">
        <v>569</v>
      </c>
      <c r="F141" s="20">
        <v>45796</v>
      </c>
      <c r="G141" s="20">
        <v>45842</v>
      </c>
      <c r="H141" s="20"/>
      <c r="I141" s="20">
        <v>45845</v>
      </c>
      <c r="J141" s="83">
        <f t="shared" ca="1" si="0"/>
        <v>232</v>
      </c>
      <c r="K141" s="82" t="str">
        <f t="shared" ref="K141:K150" ca="1" si="9">IF(J141&lt;30,"Menor a 30 días",IF(J141&lt;60,"Entre 30 y 60 días","Mayor a 60 días"))</f>
        <v>Mayor a 60 días</v>
      </c>
      <c r="L141" s="77" t="s">
        <v>29</v>
      </c>
      <c r="M141" s="77" t="s">
        <v>30</v>
      </c>
      <c r="N141" s="77" t="s">
        <v>30</v>
      </c>
      <c r="O141" s="77" t="s">
        <v>31</v>
      </c>
      <c r="P141" s="77" t="s">
        <v>29</v>
      </c>
      <c r="Q141" s="77" t="s">
        <v>32</v>
      </c>
      <c r="R141" s="77" t="s">
        <v>48</v>
      </c>
      <c r="S141" s="77" t="s">
        <v>33</v>
      </c>
      <c r="T141" s="77" t="s">
        <v>34</v>
      </c>
      <c r="U141" s="9" t="s">
        <v>35</v>
      </c>
      <c r="V141" s="9" t="s">
        <v>49</v>
      </c>
      <c r="W141" s="9"/>
      <c r="X141" s="112"/>
      <c r="Y141" s="85"/>
      <c r="Z141" s="85"/>
      <c r="AA141" s="85"/>
      <c r="AB141" s="85"/>
    </row>
    <row r="142" spans="1:28" hidden="1">
      <c r="A142" s="5" t="s">
        <v>570</v>
      </c>
      <c r="B142" s="105" t="s">
        <v>571</v>
      </c>
      <c r="C142" s="6" t="s">
        <v>26</v>
      </c>
      <c r="D142" s="6" t="s">
        <v>572</v>
      </c>
      <c r="E142" s="6" t="s">
        <v>573</v>
      </c>
      <c r="F142" s="7">
        <v>45800</v>
      </c>
      <c r="G142" s="74">
        <v>45828</v>
      </c>
      <c r="H142" s="74">
        <v>45824</v>
      </c>
      <c r="I142" s="74"/>
      <c r="J142" s="83">
        <f t="shared" ref="J142:J143" ca="1" si="10">NETWORKDAYS(F142,TODAY())</f>
        <v>228</v>
      </c>
      <c r="K142" s="82" t="str">
        <f t="shared" ca="1" si="9"/>
        <v>Mayor a 60 días</v>
      </c>
      <c r="L142" s="77" t="s">
        <v>30</v>
      </c>
      <c r="M142" s="77" t="s">
        <v>30</v>
      </c>
      <c r="N142" s="77" t="s">
        <v>30</v>
      </c>
      <c r="O142" s="77" t="s">
        <v>30</v>
      </c>
      <c r="P142" s="77" t="s">
        <v>30</v>
      </c>
      <c r="Q142" s="77" t="s">
        <v>30</v>
      </c>
      <c r="R142" s="77" t="s">
        <v>48</v>
      </c>
      <c r="S142" s="77" t="s">
        <v>30</v>
      </c>
      <c r="T142" s="77" t="s">
        <v>34</v>
      </c>
      <c r="U142" s="9" t="s">
        <v>35</v>
      </c>
      <c r="V142" s="9"/>
      <c r="W142" s="9"/>
      <c r="X142" s="9"/>
      <c r="Y142" s="85"/>
      <c r="Z142" s="85"/>
      <c r="AA142" s="85"/>
      <c r="AB142" s="85"/>
    </row>
    <row r="143" spans="1:28" hidden="1">
      <c r="A143" s="5" t="s">
        <v>574</v>
      </c>
      <c r="B143" s="6" t="s">
        <v>575</v>
      </c>
      <c r="C143" s="6" t="s">
        <v>26</v>
      </c>
      <c r="D143" s="6" t="s">
        <v>518</v>
      </c>
      <c r="E143" s="6" t="s">
        <v>576</v>
      </c>
      <c r="F143" s="7">
        <v>45800</v>
      </c>
      <c r="G143" s="74">
        <v>45828</v>
      </c>
      <c r="H143" s="74">
        <v>45811</v>
      </c>
      <c r="I143" s="74"/>
      <c r="J143" s="83">
        <f t="shared" ca="1" si="10"/>
        <v>228</v>
      </c>
      <c r="K143" s="82" t="str">
        <f t="shared" ca="1" si="9"/>
        <v>Mayor a 60 días</v>
      </c>
      <c r="L143" s="77" t="s">
        <v>30</v>
      </c>
      <c r="M143" s="77" t="s">
        <v>30</v>
      </c>
      <c r="N143" s="77" t="s">
        <v>30</v>
      </c>
      <c r="O143" s="77" t="s">
        <v>30</v>
      </c>
      <c r="P143" s="77" t="s">
        <v>30</v>
      </c>
      <c r="Q143" s="77" t="s">
        <v>30</v>
      </c>
      <c r="R143" s="77" t="s">
        <v>30</v>
      </c>
      <c r="S143" s="77" t="s">
        <v>30</v>
      </c>
      <c r="T143" s="77" t="s">
        <v>34</v>
      </c>
      <c r="U143" s="9" t="s">
        <v>35</v>
      </c>
      <c r="V143" s="9"/>
      <c r="W143" s="9"/>
      <c r="X143" s="9"/>
      <c r="Y143" s="85"/>
      <c r="Z143" s="85"/>
      <c r="AA143" s="85"/>
      <c r="AB143" s="85"/>
    </row>
    <row r="144" spans="1:28" hidden="1">
      <c r="A144" s="5" t="s">
        <v>577</v>
      </c>
      <c r="B144" s="104" t="s">
        <v>578</v>
      </c>
      <c r="C144" s="104" t="s">
        <v>400</v>
      </c>
      <c r="D144" s="106" t="s">
        <v>579</v>
      </c>
      <c r="E144" s="6"/>
      <c r="F144" s="7"/>
      <c r="G144" s="74"/>
      <c r="H144" s="74"/>
      <c r="I144" s="74">
        <v>45806</v>
      </c>
      <c r="J144" s="83"/>
      <c r="K144" s="82" t="str">
        <f t="shared" si="9"/>
        <v>Menor a 30 días</v>
      </c>
      <c r="L144" s="77" t="s">
        <v>30</v>
      </c>
      <c r="M144" s="77" t="s">
        <v>30</v>
      </c>
      <c r="N144" s="77" t="s">
        <v>30</v>
      </c>
      <c r="O144" s="77" t="s">
        <v>30</v>
      </c>
      <c r="P144" s="77" t="s">
        <v>30</v>
      </c>
      <c r="Q144" s="77" t="s">
        <v>30</v>
      </c>
      <c r="R144" s="77" t="s">
        <v>30</v>
      </c>
      <c r="S144" s="77" t="s">
        <v>30</v>
      </c>
      <c r="T144" s="77" t="s">
        <v>60</v>
      </c>
      <c r="U144" s="9" t="s">
        <v>60</v>
      </c>
      <c r="V144" s="9" t="s">
        <v>40</v>
      </c>
      <c r="W144" s="9" t="s">
        <v>132</v>
      </c>
      <c r="X144" s="9" t="s">
        <v>580</v>
      </c>
      <c r="Y144" s="85"/>
      <c r="Z144" s="85"/>
      <c r="AA144" s="85"/>
      <c r="AB144" s="85"/>
    </row>
    <row r="145" spans="1:28" hidden="1">
      <c r="A145" s="5" t="s">
        <v>581</v>
      </c>
      <c r="B145" s="6" t="s">
        <v>582</v>
      </c>
      <c r="C145" s="6" t="s">
        <v>26</v>
      </c>
      <c r="D145" s="6" t="s">
        <v>583</v>
      </c>
      <c r="E145" s="6" t="s">
        <v>584</v>
      </c>
      <c r="F145" s="7">
        <v>45807</v>
      </c>
      <c r="G145" s="74">
        <v>45838</v>
      </c>
      <c r="H145" s="74">
        <v>45841</v>
      </c>
      <c r="I145" s="74">
        <v>45841</v>
      </c>
      <c r="J145" s="83">
        <f t="shared" ref="J145:J149" ca="1" si="11">NETWORKDAYS(F145,TODAY())</f>
        <v>223</v>
      </c>
      <c r="K145" s="82" t="str">
        <f t="shared" ca="1" si="9"/>
        <v>Mayor a 60 días</v>
      </c>
      <c r="L145" s="77" t="s">
        <v>29</v>
      </c>
      <c r="M145" s="77" t="s">
        <v>30</v>
      </c>
      <c r="N145" s="77" t="s">
        <v>30</v>
      </c>
      <c r="O145" s="77" t="s">
        <v>31</v>
      </c>
      <c r="P145" s="77" t="s">
        <v>29</v>
      </c>
      <c r="Q145" s="77" t="s">
        <v>32</v>
      </c>
      <c r="R145" s="77" t="s">
        <v>48</v>
      </c>
      <c r="S145" s="77" t="s">
        <v>33</v>
      </c>
      <c r="T145" s="77" t="s">
        <v>34</v>
      </c>
      <c r="U145" s="9" t="s">
        <v>35</v>
      </c>
      <c r="V145" s="9"/>
      <c r="W145" s="9"/>
      <c r="X145" s="9"/>
      <c r="Y145" s="85"/>
      <c r="Z145" s="85"/>
      <c r="AA145" s="85"/>
      <c r="AB145" s="85"/>
    </row>
    <row r="146" spans="1:28" hidden="1">
      <c r="A146" s="5" t="s">
        <v>585</v>
      </c>
      <c r="B146" s="6" t="s">
        <v>586</v>
      </c>
      <c r="C146" s="6" t="s">
        <v>26</v>
      </c>
      <c r="D146" s="6" t="s">
        <v>587</v>
      </c>
      <c r="E146" s="6"/>
      <c r="F146" s="7"/>
      <c r="G146" s="74"/>
      <c r="H146" s="74">
        <v>45812</v>
      </c>
      <c r="I146" s="74"/>
      <c r="J146" s="83"/>
      <c r="K146" s="82" t="str">
        <f t="shared" si="9"/>
        <v>Menor a 30 días</v>
      </c>
      <c r="L146" s="77"/>
      <c r="M146" s="77"/>
      <c r="N146" s="77"/>
      <c r="O146" s="77"/>
      <c r="P146" s="77"/>
      <c r="Q146" s="77"/>
      <c r="R146" s="77"/>
      <c r="S146" s="77"/>
      <c r="T146" s="77" t="s">
        <v>34</v>
      </c>
      <c r="U146" s="9" t="s">
        <v>35</v>
      </c>
      <c r="V146" s="9"/>
      <c r="W146" s="9"/>
      <c r="X146" s="9"/>
      <c r="Y146" s="85"/>
      <c r="Z146" s="85"/>
      <c r="AA146" s="85"/>
      <c r="AB146" s="85"/>
    </row>
    <row r="147" spans="1:28" hidden="1">
      <c r="A147" s="5" t="s">
        <v>588</v>
      </c>
      <c r="B147" s="105" t="s">
        <v>589</v>
      </c>
      <c r="C147" s="6" t="s">
        <v>400</v>
      </c>
      <c r="D147" s="6" t="s">
        <v>590</v>
      </c>
      <c r="E147" s="6" t="s">
        <v>591</v>
      </c>
      <c r="F147" s="7">
        <v>45811</v>
      </c>
      <c r="G147" s="7">
        <v>45814</v>
      </c>
      <c r="H147" s="7"/>
      <c r="I147" s="74">
        <v>45814</v>
      </c>
      <c r="J147" s="83">
        <f t="shared" ca="1" si="11"/>
        <v>221</v>
      </c>
      <c r="K147" s="82" t="str">
        <f t="shared" ca="1" si="9"/>
        <v>Mayor a 60 días</v>
      </c>
      <c r="L147" s="77" t="s">
        <v>30</v>
      </c>
      <c r="M147" s="77" t="s">
        <v>30</v>
      </c>
      <c r="N147" s="77" t="s">
        <v>30</v>
      </c>
      <c r="O147" s="77" t="s">
        <v>142</v>
      </c>
      <c r="P147" s="77" t="s">
        <v>30</v>
      </c>
      <c r="Q147" s="77" t="s">
        <v>30</v>
      </c>
      <c r="R147" s="77" t="s">
        <v>30</v>
      </c>
      <c r="S147" s="77" t="s">
        <v>30</v>
      </c>
      <c r="T147" s="77" t="s">
        <v>34</v>
      </c>
      <c r="U147" s="9" t="s">
        <v>60</v>
      </c>
      <c r="V147" s="9"/>
      <c r="W147" s="9"/>
      <c r="X147" s="9" t="s">
        <v>592</v>
      </c>
      <c r="Y147" s="85"/>
      <c r="Z147" s="85"/>
      <c r="AA147" s="85"/>
      <c r="AB147" s="85"/>
    </row>
    <row r="148" spans="1:28" ht="13.5" hidden="1">
      <c r="A148" s="5" t="s">
        <v>593</v>
      </c>
      <c r="B148" s="6" t="s">
        <v>594</v>
      </c>
      <c r="C148" s="6" t="s">
        <v>400</v>
      </c>
      <c r="D148" s="6" t="s">
        <v>229</v>
      </c>
      <c r="E148" s="6" t="s">
        <v>595</v>
      </c>
      <c r="F148" s="7">
        <v>45811</v>
      </c>
      <c r="G148" s="7">
        <v>45859</v>
      </c>
      <c r="H148" s="7"/>
      <c r="I148" s="7">
        <v>45860</v>
      </c>
      <c r="J148" s="83">
        <f t="shared" ca="1" si="11"/>
        <v>221</v>
      </c>
      <c r="K148" s="82" t="str">
        <f t="shared" ca="1" si="9"/>
        <v>Mayor a 60 días</v>
      </c>
      <c r="L148" s="88" t="s">
        <v>176</v>
      </c>
      <c r="M148" s="88" t="s">
        <v>30</v>
      </c>
      <c r="N148" s="88" t="s">
        <v>30</v>
      </c>
      <c r="O148" s="77" t="s">
        <v>31</v>
      </c>
      <c r="P148" s="88" t="s">
        <v>29</v>
      </c>
      <c r="Q148" s="88" t="s">
        <v>32</v>
      </c>
      <c r="R148" s="88" t="s">
        <v>30</v>
      </c>
      <c r="S148" s="88" t="s">
        <v>30</v>
      </c>
      <c r="T148" s="88" t="s">
        <v>34</v>
      </c>
      <c r="U148" s="72" t="s">
        <v>35</v>
      </c>
      <c r="V148" s="72"/>
      <c r="W148" s="9"/>
      <c r="X148" s="113"/>
      <c r="Y148" s="85"/>
      <c r="Z148" s="85"/>
      <c r="AA148" s="85"/>
      <c r="AB148" s="85"/>
    </row>
    <row r="149" spans="1:28" ht="13.5" hidden="1">
      <c r="A149" s="5" t="s">
        <v>596</v>
      </c>
      <c r="B149" s="6" t="s">
        <v>597</v>
      </c>
      <c r="C149" s="6" t="s">
        <v>400</v>
      </c>
      <c r="D149" s="6" t="s">
        <v>136</v>
      </c>
      <c r="E149" s="6" t="s">
        <v>598</v>
      </c>
      <c r="F149" s="7">
        <v>45811</v>
      </c>
      <c r="G149" s="74"/>
      <c r="H149" s="74"/>
      <c r="I149" s="74">
        <v>45852</v>
      </c>
      <c r="J149" s="83">
        <f t="shared" ca="1" si="11"/>
        <v>221</v>
      </c>
      <c r="K149" s="82" t="str">
        <f t="shared" ca="1" si="9"/>
        <v>Mayor a 60 días</v>
      </c>
      <c r="L149" s="88" t="s">
        <v>176</v>
      </c>
      <c r="M149" s="88" t="s">
        <v>30</v>
      </c>
      <c r="N149" s="88" t="s">
        <v>30</v>
      </c>
      <c r="O149" s="88" t="s">
        <v>31</v>
      </c>
      <c r="P149" s="88" t="s">
        <v>29</v>
      </c>
      <c r="Q149" s="88" t="s">
        <v>32</v>
      </c>
      <c r="R149" s="88" t="s">
        <v>30</v>
      </c>
      <c r="S149" s="88" t="s">
        <v>30</v>
      </c>
      <c r="T149" s="88" t="s">
        <v>34</v>
      </c>
      <c r="U149" s="72" t="s">
        <v>35</v>
      </c>
      <c r="V149" s="72" t="s">
        <v>49</v>
      </c>
      <c r="W149" s="9" t="s">
        <v>364</v>
      </c>
      <c r="X149" s="115"/>
      <c r="Y149" s="85"/>
      <c r="Z149" s="85"/>
      <c r="AA149" s="85"/>
      <c r="AB149" s="85"/>
    </row>
    <row r="150" spans="1:28" ht="14.25" hidden="1">
      <c r="A150" s="5" t="s">
        <v>599</v>
      </c>
      <c r="B150" s="105" t="s">
        <v>589</v>
      </c>
      <c r="C150" s="6" t="s">
        <v>400</v>
      </c>
      <c r="D150" s="6" t="s">
        <v>313</v>
      </c>
      <c r="E150" s="6" t="s">
        <v>600</v>
      </c>
      <c r="F150" s="7">
        <v>45812</v>
      </c>
      <c r="G150" s="7">
        <v>45814</v>
      </c>
      <c r="H150" s="7"/>
      <c r="I150" s="7">
        <v>45814</v>
      </c>
      <c r="J150" s="83">
        <f t="shared" ref="J150" ca="1" si="12">NETWORKDAYS(F150,TODAY())</f>
        <v>220</v>
      </c>
      <c r="K150" s="82" t="str">
        <f t="shared" ca="1" si="9"/>
        <v>Mayor a 60 días</v>
      </c>
      <c r="L150" s="77" t="s">
        <v>30</v>
      </c>
      <c r="M150" s="77" t="s">
        <v>30</v>
      </c>
      <c r="N150" s="77" t="s">
        <v>30</v>
      </c>
      <c r="O150" s="77" t="s">
        <v>142</v>
      </c>
      <c r="P150" s="77" t="s">
        <v>30</v>
      </c>
      <c r="Q150" s="77" t="s">
        <v>30</v>
      </c>
      <c r="R150" s="77" t="s">
        <v>30</v>
      </c>
      <c r="S150" s="77" t="s">
        <v>30</v>
      </c>
      <c r="T150" s="77" t="s">
        <v>34</v>
      </c>
      <c r="U150" s="9" t="s">
        <v>60</v>
      </c>
      <c r="V150" s="9"/>
      <c r="W150" s="9"/>
      <c r="X150" s="111" t="s">
        <v>601</v>
      </c>
      <c r="Y150" s="85"/>
      <c r="Z150" s="85"/>
      <c r="AA150" s="85"/>
      <c r="AB150" s="85"/>
    </row>
    <row r="151" spans="1:28" hidden="1">
      <c r="A151" s="5" t="s">
        <v>602</v>
      </c>
      <c r="B151" s="104" t="s">
        <v>603</v>
      </c>
      <c r="C151" s="104" t="s">
        <v>26</v>
      </c>
      <c r="D151" s="104" t="s">
        <v>604</v>
      </c>
      <c r="E151" s="6" t="s">
        <v>30</v>
      </c>
      <c r="F151" s="7">
        <v>45812</v>
      </c>
      <c r="G151" s="74">
        <v>45832</v>
      </c>
      <c r="H151" s="74">
        <v>45839</v>
      </c>
      <c r="I151" s="74">
        <v>45839</v>
      </c>
      <c r="J151" s="83">
        <f t="shared" ref="J151" ca="1" si="13">NETWORKDAYS(F151,TODAY())</f>
        <v>220</v>
      </c>
      <c r="K151" s="82" t="str">
        <f t="shared" ref="K151" ca="1" si="14">IF(J151&lt;30,"Menor a 30 días",IF(J151&lt;60,"Entre 30 y 60 días","Mayor a 60 días"))</f>
        <v>Mayor a 60 días</v>
      </c>
      <c r="L151" s="77" t="s">
        <v>30</v>
      </c>
      <c r="M151" s="77" t="s">
        <v>30</v>
      </c>
      <c r="N151" s="77" t="s">
        <v>30</v>
      </c>
      <c r="O151" s="77" t="s">
        <v>30</v>
      </c>
      <c r="P151" s="77" t="s">
        <v>30</v>
      </c>
      <c r="Q151" s="77" t="s">
        <v>30</v>
      </c>
      <c r="R151" s="77" t="s">
        <v>30</v>
      </c>
      <c r="S151" s="77" t="s">
        <v>30</v>
      </c>
      <c r="T151" s="77" t="s">
        <v>34</v>
      </c>
      <c r="U151" s="9" t="s">
        <v>35</v>
      </c>
      <c r="V151" s="9" t="s">
        <v>70</v>
      </c>
      <c r="W151" s="9" t="s">
        <v>111</v>
      </c>
      <c r="X151" s="9"/>
      <c r="Y151" s="85"/>
      <c r="Z151" s="85"/>
      <c r="AA151" s="85"/>
      <c r="AB151" s="85"/>
    </row>
    <row r="152" spans="1:28" hidden="1">
      <c r="A152" s="5" t="s">
        <v>605</v>
      </c>
      <c r="B152" s="6" t="s">
        <v>606</v>
      </c>
      <c r="C152" s="6" t="s">
        <v>26</v>
      </c>
      <c r="D152" s="6" t="s">
        <v>91</v>
      </c>
      <c r="E152" s="6" t="s">
        <v>607</v>
      </c>
      <c r="F152" s="7">
        <v>45814</v>
      </c>
      <c r="G152" s="74">
        <v>45845</v>
      </c>
      <c r="H152" s="74">
        <v>45887</v>
      </c>
      <c r="I152" s="74">
        <v>45887</v>
      </c>
      <c r="J152" s="83">
        <f t="shared" ref="J152" ca="1" si="15">NETWORKDAYS(F152,TODAY())</f>
        <v>218</v>
      </c>
      <c r="K152" s="82" t="str">
        <f t="shared" ref="K152" ca="1" si="16">IF(J152&lt;30,"Menor a 30 días",IF(J152&lt;60,"Entre 30 y 60 días","Mayor a 60 días"))</f>
        <v>Mayor a 60 días</v>
      </c>
      <c r="L152" s="77" t="s">
        <v>29</v>
      </c>
      <c r="M152" s="77" t="s">
        <v>30</v>
      </c>
      <c r="N152" s="77" t="s">
        <v>30</v>
      </c>
      <c r="O152" s="77" t="s">
        <v>31</v>
      </c>
      <c r="P152" s="77" t="s">
        <v>29</v>
      </c>
      <c r="Q152" s="77" t="s">
        <v>32</v>
      </c>
      <c r="R152" s="77" t="s">
        <v>30</v>
      </c>
      <c r="S152" s="77" t="s">
        <v>33</v>
      </c>
      <c r="T152" s="77" t="s">
        <v>34</v>
      </c>
      <c r="U152" s="9" t="s">
        <v>35</v>
      </c>
      <c r="V152" s="9" t="s">
        <v>40</v>
      </c>
      <c r="W152" s="9" t="s">
        <v>40</v>
      </c>
      <c r="X152" s="9" t="s">
        <v>608</v>
      </c>
      <c r="Y152" s="85"/>
      <c r="Z152" s="85"/>
      <c r="AA152" s="85"/>
      <c r="AB152" s="85"/>
    </row>
    <row r="153" spans="1:28" hidden="1">
      <c r="A153" s="5" t="s">
        <v>609</v>
      </c>
      <c r="B153" s="6" t="s">
        <v>610</v>
      </c>
      <c r="C153" s="6" t="s">
        <v>26</v>
      </c>
      <c r="D153" s="6" t="s">
        <v>611</v>
      </c>
      <c r="E153" s="6" t="s">
        <v>30</v>
      </c>
      <c r="F153" s="7">
        <v>45814</v>
      </c>
      <c r="G153" s="74">
        <v>45821</v>
      </c>
      <c r="H153" s="74">
        <v>45827</v>
      </c>
      <c r="I153" s="74"/>
      <c r="J153" s="83">
        <f t="shared" ref="J153" ca="1" si="17">NETWORKDAYS(F153,TODAY())</f>
        <v>218</v>
      </c>
      <c r="K153" s="82" t="str">
        <f t="shared" ref="K153" ca="1" si="18">IF(J153&lt;30,"Menor a 30 días",IF(J153&lt;60,"Entre 30 y 60 días","Mayor a 60 días"))</f>
        <v>Mayor a 60 días</v>
      </c>
      <c r="L153" s="77" t="s">
        <v>30</v>
      </c>
      <c r="M153" s="77" t="s">
        <v>30</v>
      </c>
      <c r="N153" s="77" t="s">
        <v>30</v>
      </c>
      <c r="O153" s="77" t="s">
        <v>30</v>
      </c>
      <c r="P153" s="77" t="s">
        <v>30</v>
      </c>
      <c r="Q153" s="77" t="s">
        <v>30</v>
      </c>
      <c r="R153" s="77" t="s">
        <v>30</v>
      </c>
      <c r="S153" s="77" t="s">
        <v>30</v>
      </c>
      <c r="T153" s="77" t="s">
        <v>34</v>
      </c>
      <c r="U153" s="9" t="s">
        <v>35</v>
      </c>
      <c r="V153" s="9"/>
      <c r="W153" s="9"/>
      <c r="X153" s="9"/>
      <c r="Y153" s="85"/>
      <c r="Z153" s="85"/>
      <c r="AA153" s="85"/>
      <c r="AB153" s="85"/>
    </row>
    <row r="154" spans="1:28" hidden="1">
      <c r="A154" s="5" t="s">
        <v>612</v>
      </c>
      <c r="B154" s="6" t="s">
        <v>610</v>
      </c>
      <c r="C154" s="6" t="s">
        <v>26</v>
      </c>
      <c r="D154" s="6" t="s">
        <v>39</v>
      </c>
      <c r="E154" s="99" t="s">
        <v>30</v>
      </c>
      <c r="F154" s="7">
        <v>45814</v>
      </c>
      <c r="G154" s="74">
        <v>45821</v>
      </c>
      <c r="H154" s="74">
        <v>45827</v>
      </c>
      <c r="I154" s="74"/>
      <c r="J154" s="83">
        <f t="shared" ref="J154" ca="1" si="19">NETWORKDAYS(F154,TODAY())</f>
        <v>218</v>
      </c>
      <c r="K154" s="82" t="str">
        <f t="shared" ref="K154" ca="1" si="20">IF(J154&lt;30,"Menor a 30 días",IF(J154&lt;60,"Entre 30 y 60 días","Mayor a 60 días"))</f>
        <v>Mayor a 60 días</v>
      </c>
      <c r="L154" s="77" t="s">
        <v>30</v>
      </c>
      <c r="M154" s="77" t="s">
        <v>30</v>
      </c>
      <c r="N154" s="77" t="s">
        <v>30</v>
      </c>
      <c r="O154" s="77" t="s">
        <v>30</v>
      </c>
      <c r="P154" s="77" t="s">
        <v>30</v>
      </c>
      <c r="Q154" s="77" t="s">
        <v>30</v>
      </c>
      <c r="R154" s="77" t="s">
        <v>30</v>
      </c>
      <c r="S154" s="77" t="s">
        <v>30</v>
      </c>
      <c r="T154" s="77" t="s">
        <v>34</v>
      </c>
      <c r="U154" s="9" t="s">
        <v>35</v>
      </c>
      <c r="V154" s="9"/>
      <c r="W154" s="9"/>
      <c r="X154" s="9"/>
      <c r="Y154" s="85"/>
      <c r="Z154" s="85"/>
      <c r="AA154" s="85"/>
      <c r="AB154" s="85"/>
    </row>
    <row r="155" spans="1:28" hidden="1">
      <c r="A155" s="5" t="s">
        <v>613</v>
      </c>
      <c r="B155" s="105" t="s">
        <v>614</v>
      </c>
      <c r="C155" s="6" t="s">
        <v>26</v>
      </c>
      <c r="D155" s="6" t="s">
        <v>331</v>
      </c>
      <c r="E155" s="99" t="s">
        <v>30</v>
      </c>
      <c r="F155" s="7">
        <v>45820</v>
      </c>
      <c r="G155" s="74">
        <v>45848</v>
      </c>
      <c r="H155" s="74">
        <v>45821</v>
      </c>
      <c r="I155" s="74"/>
      <c r="J155" s="83">
        <f t="shared" ref="J155:J156" ca="1" si="21">NETWORKDAYS(F155,TODAY())</f>
        <v>214</v>
      </c>
      <c r="K155" s="82" t="str">
        <f t="shared" ref="K155:K156" ca="1" si="22">IF(J155&lt;30,"Menor a 30 días",IF(J155&lt;60,"Entre 30 y 60 días","Mayor a 60 días"))</f>
        <v>Mayor a 60 días</v>
      </c>
      <c r="L155" s="77" t="s">
        <v>30</v>
      </c>
      <c r="M155" s="77" t="s">
        <v>30</v>
      </c>
      <c r="N155" s="77" t="s">
        <v>30</v>
      </c>
      <c r="O155" s="77" t="s">
        <v>30</v>
      </c>
      <c r="P155" s="77" t="s">
        <v>30</v>
      </c>
      <c r="Q155" s="77" t="s">
        <v>30</v>
      </c>
      <c r="R155" s="77" t="s">
        <v>30</v>
      </c>
      <c r="S155" s="77" t="s">
        <v>30</v>
      </c>
      <c r="T155" s="77" t="s">
        <v>34</v>
      </c>
      <c r="U155" s="9" t="s">
        <v>35</v>
      </c>
      <c r="V155" s="9" t="s">
        <v>49</v>
      </c>
      <c r="W155" s="9" t="s">
        <v>132</v>
      </c>
      <c r="X155" s="9"/>
      <c r="Y155" s="85"/>
      <c r="Z155" s="85"/>
      <c r="AA155" s="85"/>
      <c r="AB155" s="85"/>
    </row>
    <row r="156" spans="1:28" ht="13.5" hidden="1">
      <c r="A156" s="5" t="s">
        <v>615</v>
      </c>
      <c r="B156" s="104" t="s">
        <v>616</v>
      </c>
      <c r="C156" s="104" t="s">
        <v>400</v>
      </c>
      <c r="D156" s="6" t="s">
        <v>91</v>
      </c>
      <c r="E156" s="6" t="s">
        <v>617</v>
      </c>
      <c r="F156" s="7">
        <v>45817</v>
      </c>
      <c r="G156" s="74">
        <v>45845</v>
      </c>
      <c r="H156" s="74">
        <v>45897</v>
      </c>
      <c r="I156" s="74">
        <v>45898</v>
      </c>
      <c r="J156" s="83">
        <f t="shared" ca="1" si="21"/>
        <v>217</v>
      </c>
      <c r="K156" s="82" t="str">
        <f t="shared" ca="1" si="22"/>
        <v>Mayor a 60 días</v>
      </c>
      <c r="L156" s="77" t="s">
        <v>29</v>
      </c>
      <c r="M156" s="77" t="s">
        <v>30</v>
      </c>
      <c r="N156" s="77" t="s">
        <v>30</v>
      </c>
      <c r="O156" s="77" t="s">
        <v>31</v>
      </c>
      <c r="P156" s="77" t="s">
        <v>29</v>
      </c>
      <c r="Q156" s="77" t="s">
        <v>32</v>
      </c>
      <c r="R156" s="77" t="s">
        <v>30</v>
      </c>
      <c r="S156" s="77" t="s">
        <v>33</v>
      </c>
      <c r="T156" s="77" t="s">
        <v>34</v>
      </c>
      <c r="U156" s="9" t="s">
        <v>35</v>
      </c>
      <c r="V156" s="9"/>
      <c r="W156" s="9"/>
      <c r="X156" s="112"/>
      <c r="Y156" s="85"/>
      <c r="Z156" s="85"/>
      <c r="AA156" s="85"/>
      <c r="AB156" s="85"/>
    </row>
    <row r="157" spans="1:28" hidden="1">
      <c r="A157" s="5" t="s">
        <v>618</v>
      </c>
      <c r="B157" s="105" t="s">
        <v>619</v>
      </c>
      <c r="C157" s="6" t="s">
        <v>400</v>
      </c>
      <c r="D157" s="6" t="s">
        <v>313</v>
      </c>
      <c r="E157" s="6" t="s">
        <v>620</v>
      </c>
      <c r="F157" s="7">
        <v>45818</v>
      </c>
      <c r="G157" s="7">
        <v>45819</v>
      </c>
      <c r="H157" s="7"/>
      <c r="I157" s="7">
        <v>45819</v>
      </c>
      <c r="J157" s="83"/>
      <c r="K157" s="82"/>
      <c r="L157" s="77" t="s">
        <v>30</v>
      </c>
      <c r="M157" s="77" t="s">
        <v>30</v>
      </c>
      <c r="N157" s="77" t="s">
        <v>30</v>
      </c>
      <c r="O157" s="77" t="s">
        <v>142</v>
      </c>
      <c r="P157" s="77" t="s">
        <v>30</v>
      </c>
      <c r="Q157" s="77" t="s">
        <v>30</v>
      </c>
      <c r="R157" s="77" t="s">
        <v>30</v>
      </c>
      <c r="S157" s="77" t="s">
        <v>30</v>
      </c>
      <c r="T157" s="77" t="s">
        <v>34</v>
      </c>
      <c r="U157" s="9" t="s">
        <v>60</v>
      </c>
      <c r="V157" s="9"/>
      <c r="W157" s="9"/>
      <c r="X157" s="9"/>
      <c r="Y157" s="85"/>
      <c r="Z157" s="85"/>
      <c r="AA157" s="85"/>
      <c r="AB157" s="85"/>
    </row>
    <row r="158" spans="1:28" ht="23.25" hidden="1">
      <c r="A158" s="5" t="s">
        <v>621</v>
      </c>
      <c r="B158" s="104" t="s">
        <v>622</v>
      </c>
      <c r="C158" s="104" t="s">
        <v>26</v>
      </c>
      <c r="D158" s="6" t="s">
        <v>623</v>
      </c>
      <c r="E158" s="6" t="s">
        <v>624</v>
      </c>
      <c r="F158" s="7">
        <v>45819</v>
      </c>
      <c r="G158" s="74">
        <v>45839</v>
      </c>
      <c r="H158" s="74"/>
      <c r="I158" s="74"/>
      <c r="J158" s="83">
        <f t="shared" ref="J158:J160" ca="1" si="23">NETWORKDAYS(F158,TODAY())</f>
        <v>215</v>
      </c>
      <c r="K158" s="82" t="str">
        <f t="shared" ref="K158:K160" ca="1" si="24">IF(J158&lt;30,"Menor a 30 días",IF(J158&lt;60,"Entre 30 y 60 días","Mayor a 60 días"))</f>
        <v>Mayor a 60 días</v>
      </c>
      <c r="L158" s="77" t="s">
        <v>30</v>
      </c>
      <c r="M158" s="77" t="s">
        <v>30</v>
      </c>
      <c r="N158" s="77" t="s">
        <v>30</v>
      </c>
      <c r="O158" s="77" t="s">
        <v>30</v>
      </c>
      <c r="P158" s="77" t="s">
        <v>30</v>
      </c>
      <c r="Q158" s="77" t="s">
        <v>30</v>
      </c>
      <c r="R158" s="77" t="s">
        <v>490</v>
      </c>
      <c r="S158" s="77" t="s">
        <v>30</v>
      </c>
      <c r="T158" s="77" t="s">
        <v>30</v>
      </c>
      <c r="U158" s="9" t="s">
        <v>93</v>
      </c>
      <c r="V158" s="9"/>
      <c r="W158" s="9"/>
      <c r="X158" s="9" t="s">
        <v>625</v>
      </c>
      <c r="Y158" s="85"/>
      <c r="Z158" s="85"/>
      <c r="AA158" s="85"/>
      <c r="AB158" s="85"/>
    </row>
    <row r="159" spans="1:28" hidden="1">
      <c r="A159" s="5" t="s">
        <v>626</v>
      </c>
      <c r="B159" s="6" t="s">
        <v>627</v>
      </c>
      <c r="C159" s="6" t="s">
        <v>400</v>
      </c>
      <c r="D159" s="6" t="s">
        <v>460</v>
      </c>
      <c r="E159" s="6" t="s">
        <v>628</v>
      </c>
      <c r="F159" s="7">
        <v>45824</v>
      </c>
      <c r="G159" s="74">
        <v>45856</v>
      </c>
      <c r="H159" s="74"/>
      <c r="I159" s="74">
        <v>45859</v>
      </c>
      <c r="J159" s="83">
        <f t="shared" ca="1" si="23"/>
        <v>212</v>
      </c>
      <c r="K159" s="82" t="str">
        <f t="shared" ca="1" si="24"/>
        <v>Mayor a 60 días</v>
      </c>
      <c r="L159" s="77" t="s">
        <v>30</v>
      </c>
      <c r="M159" s="77" t="s">
        <v>30</v>
      </c>
      <c r="N159" s="77" t="s">
        <v>30</v>
      </c>
      <c r="O159" s="77" t="s">
        <v>31</v>
      </c>
      <c r="P159" s="77" t="s">
        <v>31</v>
      </c>
      <c r="Q159" s="77" t="s">
        <v>30</v>
      </c>
      <c r="R159" s="77" t="s">
        <v>30</v>
      </c>
      <c r="S159" s="77" t="s">
        <v>30</v>
      </c>
      <c r="T159" s="77" t="s">
        <v>34</v>
      </c>
      <c r="U159" s="9" t="s">
        <v>35</v>
      </c>
      <c r="V159" s="9" t="s">
        <v>36</v>
      </c>
      <c r="W159" s="9" t="s">
        <v>50</v>
      </c>
      <c r="X159" s="9"/>
      <c r="Y159" s="85"/>
      <c r="Z159" s="85"/>
      <c r="AA159" s="85"/>
      <c r="AB159" s="85"/>
    </row>
    <row r="160" spans="1:28" hidden="1">
      <c r="A160" s="5" t="s">
        <v>629</v>
      </c>
      <c r="B160" s="6" t="s">
        <v>425</v>
      </c>
      <c r="C160" s="6" t="s">
        <v>400</v>
      </c>
      <c r="D160" s="6" t="s">
        <v>630</v>
      </c>
      <c r="E160" s="6" t="s">
        <v>631</v>
      </c>
      <c r="F160" s="7">
        <v>45818</v>
      </c>
      <c r="G160" s="7">
        <v>45829</v>
      </c>
      <c r="H160" s="7"/>
      <c r="I160" s="7">
        <v>45814</v>
      </c>
      <c r="J160" s="83">
        <f t="shared" ca="1" si="23"/>
        <v>216</v>
      </c>
      <c r="K160" s="82" t="str">
        <f t="shared" ca="1" si="24"/>
        <v>Mayor a 60 días</v>
      </c>
      <c r="L160" s="77" t="s">
        <v>30</v>
      </c>
      <c r="M160" s="77" t="s">
        <v>30</v>
      </c>
      <c r="N160" s="77" t="s">
        <v>30</v>
      </c>
      <c r="O160" s="77" t="s">
        <v>30</v>
      </c>
      <c r="P160" s="77" t="s">
        <v>30</v>
      </c>
      <c r="Q160" s="77" t="s">
        <v>30</v>
      </c>
      <c r="R160" s="77" t="s">
        <v>30</v>
      </c>
      <c r="S160" s="77" t="s">
        <v>30</v>
      </c>
      <c r="T160" s="77" t="s">
        <v>34</v>
      </c>
      <c r="U160" s="9" t="s">
        <v>35</v>
      </c>
      <c r="V160" s="9"/>
      <c r="W160" s="9"/>
      <c r="X160" s="9"/>
      <c r="Y160" s="85"/>
      <c r="Z160" s="85"/>
      <c r="AA160" s="85"/>
      <c r="AB160" s="85"/>
    </row>
    <row r="161" spans="1:28" hidden="1">
      <c r="A161" s="5" t="s">
        <v>632</v>
      </c>
      <c r="B161" s="6" t="s">
        <v>633</v>
      </c>
      <c r="C161" s="6" t="s">
        <v>26</v>
      </c>
      <c r="D161" s="6" t="s">
        <v>634</v>
      </c>
      <c r="E161" s="99" t="s">
        <v>635</v>
      </c>
      <c r="F161" s="7">
        <v>45826</v>
      </c>
      <c r="G161" s="74">
        <v>45855</v>
      </c>
      <c r="H161" s="74">
        <v>45849</v>
      </c>
      <c r="I161" s="74">
        <v>45849</v>
      </c>
      <c r="J161" s="83">
        <f t="shared" ref="J161" ca="1" si="25">NETWORKDAYS(F161,TODAY())</f>
        <v>210</v>
      </c>
      <c r="K161" s="82" t="str">
        <f t="shared" ref="K161" ca="1" si="26">IF(J161&lt;30,"Menor a 30 días",IF(J161&lt;60,"Entre 30 y 60 días","Mayor a 60 días"))</f>
        <v>Mayor a 60 días</v>
      </c>
      <c r="L161" s="77" t="s">
        <v>176</v>
      </c>
      <c r="M161" s="77" t="s">
        <v>30</v>
      </c>
      <c r="N161" s="77" t="s">
        <v>30</v>
      </c>
      <c r="O161" s="77" t="s">
        <v>31</v>
      </c>
      <c r="P161" s="77" t="s">
        <v>29</v>
      </c>
      <c r="Q161" s="77" t="s">
        <v>32</v>
      </c>
      <c r="R161" s="77" t="s">
        <v>48</v>
      </c>
      <c r="S161" s="77" t="s">
        <v>33</v>
      </c>
      <c r="T161" s="77" t="s">
        <v>34</v>
      </c>
      <c r="U161" s="9" t="s">
        <v>35</v>
      </c>
      <c r="V161" s="9"/>
      <c r="W161" s="9"/>
      <c r="X161" s="9" t="s">
        <v>636</v>
      </c>
      <c r="Y161" s="85"/>
      <c r="Z161" s="85"/>
      <c r="AA161" s="85"/>
      <c r="AB161" s="85"/>
    </row>
    <row r="162" spans="1:28" hidden="1">
      <c r="A162" s="5" t="s">
        <v>637</v>
      </c>
      <c r="B162" s="6" t="s">
        <v>638</v>
      </c>
      <c r="C162" s="6" t="s">
        <v>26</v>
      </c>
      <c r="D162" s="6" t="s">
        <v>639</v>
      </c>
      <c r="E162" s="6" t="s">
        <v>640</v>
      </c>
      <c r="F162" s="7">
        <v>45831</v>
      </c>
      <c r="G162" s="74">
        <v>45865</v>
      </c>
      <c r="H162" s="74">
        <v>45832</v>
      </c>
      <c r="I162" s="74"/>
      <c r="J162" s="83">
        <f t="shared" ref="J162" ca="1" si="27">NETWORKDAYS(F162,TODAY())</f>
        <v>207</v>
      </c>
      <c r="K162" s="82" t="str">
        <f t="shared" ref="K162" ca="1" si="28">IF(J162&lt;30,"Menor a 30 días",IF(J162&lt;60,"Entre 30 y 60 días","Mayor a 60 días"))</f>
        <v>Mayor a 60 días</v>
      </c>
      <c r="L162" s="77" t="s">
        <v>30</v>
      </c>
      <c r="M162" s="77" t="s">
        <v>30</v>
      </c>
      <c r="N162" s="77" t="s">
        <v>30</v>
      </c>
      <c r="O162" s="77" t="s">
        <v>30</v>
      </c>
      <c r="P162" s="77" t="s">
        <v>30</v>
      </c>
      <c r="Q162" s="77" t="s">
        <v>30</v>
      </c>
      <c r="R162" s="77" t="s">
        <v>48</v>
      </c>
      <c r="S162" s="77" t="s">
        <v>30</v>
      </c>
      <c r="T162" s="77" t="s">
        <v>34</v>
      </c>
      <c r="U162" s="9" t="s">
        <v>35</v>
      </c>
      <c r="V162" s="9"/>
      <c r="W162" s="9"/>
      <c r="X162" s="9"/>
      <c r="Y162" s="85"/>
      <c r="Z162" s="85"/>
      <c r="AA162" s="85"/>
      <c r="AB162" s="85"/>
    </row>
    <row r="163" spans="1:28" hidden="1">
      <c r="A163" s="5" t="s">
        <v>641</v>
      </c>
      <c r="B163" s="6" t="s">
        <v>638</v>
      </c>
      <c r="C163" s="6" t="s">
        <v>26</v>
      </c>
      <c r="D163" s="6" t="s">
        <v>46</v>
      </c>
      <c r="E163" s="6" t="s">
        <v>642</v>
      </c>
      <c r="F163" s="7">
        <v>45831</v>
      </c>
      <c r="G163" s="74">
        <v>45860</v>
      </c>
      <c r="H163" s="74">
        <v>45842</v>
      </c>
      <c r="I163" s="74">
        <v>45842</v>
      </c>
      <c r="J163" s="83">
        <f t="shared" ref="J163" ca="1" si="29">NETWORKDAYS(F163,TODAY())</f>
        <v>207</v>
      </c>
      <c r="K163" s="82" t="str">
        <f t="shared" ref="K163" ca="1" si="30">IF(J163&lt;30,"Menor a 30 días",IF(J163&lt;60,"Entre 30 y 60 días","Mayor a 60 días"))</f>
        <v>Mayor a 60 días</v>
      </c>
      <c r="L163" s="77" t="s">
        <v>29</v>
      </c>
      <c r="M163" s="77" t="s">
        <v>30</v>
      </c>
      <c r="N163" s="77" t="s">
        <v>30</v>
      </c>
      <c r="O163" s="77" t="s">
        <v>31</v>
      </c>
      <c r="P163" s="77" t="s">
        <v>29</v>
      </c>
      <c r="Q163" s="77" t="s">
        <v>32</v>
      </c>
      <c r="R163" s="77" t="s">
        <v>48</v>
      </c>
      <c r="S163" s="77" t="s">
        <v>490</v>
      </c>
      <c r="T163" s="77" t="s">
        <v>34</v>
      </c>
      <c r="U163" s="9" t="s">
        <v>35</v>
      </c>
      <c r="V163" s="9"/>
      <c r="W163" s="9"/>
      <c r="X163" s="9"/>
      <c r="Y163" s="85"/>
      <c r="Z163" s="85"/>
      <c r="AA163" s="85"/>
      <c r="AB163" s="85"/>
    </row>
    <row r="164" spans="1:28" ht="20.25" hidden="1">
      <c r="A164" s="5" t="s">
        <v>643</v>
      </c>
      <c r="B164" s="6" t="s">
        <v>644</v>
      </c>
      <c r="C164" s="6" t="s">
        <v>26</v>
      </c>
      <c r="D164" s="6" t="s">
        <v>645</v>
      </c>
      <c r="E164" s="6" t="s">
        <v>646</v>
      </c>
      <c r="F164" s="7">
        <v>45833</v>
      </c>
      <c r="G164" s="74">
        <v>45894</v>
      </c>
      <c r="H164" s="74">
        <v>45863</v>
      </c>
      <c r="I164" s="74"/>
      <c r="J164" s="83">
        <f ca="1">NETWORKDAYS(F164,TODAY())</f>
        <v>205</v>
      </c>
      <c r="K164" s="82" t="str">
        <f ca="1">IF(J164&lt;30,"Menor a 30 días",IF(J164&lt;60,"Entre 30 y 60 días","Mayor a 60 días"))</f>
        <v>Mayor a 60 días</v>
      </c>
      <c r="L164" s="77" t="s">
        <v>176</v>
      </c>
      <c r="M164" s="77" t="s">
        <v>29</v>
      </c>
      <c r="N164" s="77" t="s">
        <v>29</v>
      </c>
      <c r="O164" s="77" t="s">
        <v>31</v>
      </c>
      <c r="P164" s="77" t="s">
        <v>29</v>
      </c>
      <c r="Q164" s="77" t="s">
        <v>32</v>
      </c>
      <c r="R164" s="77" t="s">
        <v>48</v>
      </c>
      <c r="S164" s="77" t="s">
        <v>33</v>
      </c>
      <c r="T164" s="77" t="s">
        <v>30</v>
      </c>
      <c r="U164" s="9" t="s">
        <v>35</v>
      </c>
      <c r="V164" s="9"/>
      <c r="W164" s="9"/>
      <c r="X164" s="9" t="s">
        <v>647</v>
      </c>
      <c r="Y164" s="85"/>
      <c r="Z164" s="85"/>
      <c r="AA164" s="85"/>
      <c r="AB164" s="85"/>
    </row>
    <row r="165" spans="1:28" ht="21.75" hidden="1">
      <c r="A165" s="5" t="s">
        <v>648</v>
      </c>
      <c r="B165" s="130" t="s">
        <v>649</v>
      </c>
      <c r="C165" s="130" t="s">
        <v>26</v>
      </c>
      <c r="D165" s="6" t="s">
        <v>378</v>
      </c>
      <c r="E165" s="6" t="s">
        <v>650</v>
      </c>
      <c r="F165" s="7">
        <v>45834</v>
      </c>
      <c r="G165" s="74">
        <v>45863</v>
      </c>
      <c r="H165" s="74">
        <v>46051</v>
      </c>
      <c r="I165" s="74">
        <v>46051</v>
      </c>
      <c r="J165" s="83">
        <f t="shared" ref="J165:J171" ca="1" si="31">NETWORKDAYS(F165,TODAY())</f>
        <v>204</v>
      </c>
      <c r="K165" s="82" t="str">
        <f t="shared" ref="K165:K171" ca="1" si="32">IF(J165&lt;30,"Menor a 30 días",IF(J165&lt;60,"Entre 30 y 60 días","Mayor a 60 días"))</f>
        <v>Mayor a 60 días</v>
      </c>
      <c r="L165" s="77" t="s">
        <v>176</v>
      </c>
      <c r="M165" s="77" t="s">
        <v>30</v>
      </c>
      <c r="N165" s="77" t="s">
        <v>30</v>
      </c>
      <c r="O165" s="77" t="s">
        <v>31</v>
      </c>
      <c r="P165" s="77" t="s">
        <v>29</v>
      </c>
      <c r="Q165" s="77" t="s">
        <v>32</v>
      </c>
      <c r="R165" s="77" t="s">
        <v>30</v>
      </c>
      <c r="S165" s="77" t="s">
        <v>33</v>
      </c>
      <c r="T165" s="77" t="s">
        <v>34</v>
      </c>
      <c r="U165" s="9" t="s">
        <v>35</v>
      </c>
      <c r="V165" s="9"/>
      <c r="W165" s="9"/>
      <c r="X165" s="118" t="s">
        <v>651</v>
      </c>
      <c r="Y165" s="85"/>
      <c r="Z165" s="85"/>
      <c r="AA165" s="85"/>
      <c r="AB165" s="85"/>
    </row>
    <row r="166" spans="1:28" hidden="1">
      <c r="A166" s="5" t="s">
        <v>652</v>
      </c>
      <c r="B166" s="6" t="s">
        <v>653</v>
      </c>
      <c r="C166" s="6" t="s">
        <v>26</v>
      </c>
      <c r="D166" s="6" t="s">
        <v>654</v>
      </c>
      <c r="E166" s="6" t="s">
        <v>655</v>
      </c>
      <c r="F166" s="7">
        <v>45835</v>
      </c>
      <c r="G166" s="74">
        <v>45862</v>
      </c>
      <c r="H166" s="74">
        <v>45849</v>
      </c>
      <c r="I166" s="74">
        <v>45874</v>
      </c>
      <c r="J166" s="83">
        <f t="shared" ca="1" si="31"/>
        <v>203</v>
      </c>
      <c r="K166" s="82" t="str">
        <f t="shared" ca="1" si="32"/>
        <v>Mayor a 60 días</v>
      </c>
      <c r="L166" s="77" t="s">
        <v>30</v>
      </c>
      <c r="M166" s="77" t="s">
        <v>30</v>
      </c>
      <c r="N166" s="77" t="s">
        <v>30</v>
      </c>
      <c r="O166" s="77" t="s">
        <v>30</v>
      </c>
      <c r="P166" s="77" t="s">
        <v>30</v>
      </c>
      <c r="Q166" s="77" t="s">
        <v>30</v>
      </c>
      <c r="R166" s="77" t="s">
        <v>48</v>
      </c>
      <c r="S166" s="77" t="s">
        <v>30</v>
      </c>
      <c r="T166" s="77" t="s">
        <v>34</v>
      </c>
      <c r="U166" s="9" t="s">
        <v>35</v>
      </c>
      <c r="V166" s="9" t="s">
        <v>17</v>
      </c>
      <c r="W166" s="9" t="s">
        <v>111</v>
      </c>
      <c r="X166" s="9" t="s">
        <v>656</v>
      </c>
      <c r="Y166" s="85"/>
      <c r="Z166" s="85"/>
      <c r="AA166" s="85"/>
      <c r="AB166" s="85"/>
    </row>
    <row r="167" spans="1:28" hidden="1">
      <c r="A167" s="5" t="s">
        <v>657</v>
      </c>
      <c r="B167" s="6" t="s">
        <v>653</v>
      </c>
      <c r="C167" s="6" t="s">
        <v>26</v>
      </c>
      <c r="D167" s="6" t="s">
        <v>39</v>
      </c>
      <c r="E167" s="6" t="s">
        <v>30</v>
      </c>
      <c r="F167" s="7">
        <v>45835</v>
      </c>
      <c r="G167" s="74">
        <v>45862</v>
      </c>
      <c r="H167" s="74">
        <v>45849</v>
      </c>
      <c r="I167" s="74">
        <v>45849</v>
      </c>
      <c r="J167" s="83">
        <f t="shared" ref="J167" ca="1" si="33">NETWORKDAYS(F167,TODAY())</f>
        <v>203</v>
      </c>
      <c r="K167" s="82" t="str">
        <f t="shared" ref="K167" ca="1" si="34">IF(J167&lt;30,"Menor a 30 días",IF(J167&lt;60,"Entre 30 y 60 días","Mayor a 60 días"))</f>
        <v>Mayor a 60 días</v>
      </c>
      <c r="L167" s="77" t="s">
        <v>30</v>
      </c>
      <c r="M167" s="77" t="s">
        <v>30</v>
      </c>
      <c r="N167" s="77" t="s">
        <v>30</v>
      </c>
      <c r="O167" s="77" t="s">
        <v>30</v>
      </c>
      <c r="P167" s="77" t="s">
        <v>30</v>
      </c>
      <c r="Q167" s="77" t="s">
        <v>30</v>
      </c>
      <c r="R167" s="77" t="s">
        <v>30</v>
      </c>
      <c r="S167" s="77" t="s">
        <v>30</v>
      </c>
      <c r="T167" s="77" t="s">
        <v>34</v>
      </c>
      <c r="U167" s="9" t="s">
        <v>35</v>
      </c>
      <c r="V167" s="9"/>
      <c r="W167" s="9"/>
      <c r="X167" s="9" t="s">
        <v>658</v>
      </c>
      <c r="Y167" s="85"/>
      <c r="Z167" s="85"/>
      <c r="AA167" s="85"/>
      <c r="AB167" s="85"/>
    </row>
    <row r="168" spans="1:28" hidden="1">
      <c r="A168" s="5" t="s">
        <v>659</v>
      </c>
      <c r="B168" s="6" t="s">
        <v>660</v>
      </c>
      <c r="C168" s="6" t="s">
        <v>400</v>
      </c>
      <c r="D168" s="6" t="s">
        <v>146</v>
      </c>
      <c r="E168" s="6" t="s">
        <v>661</v>
      </c>
      <c r="F168" s="7">
        <v>45835</v>
      </c>
      <c r="G168" s="74"/>
      <c r="H168" s="74"/>
      <c r="I168" s="74">
        <v>45847</v>
      </c>
      <c r="J168" s="83">
        <f t="shared" ca="1" si="31"/>
        <v>203</v>
      </c>
      <c r="K168" s="82" t="str">
        <f t="shared" ca="1" si="32"/>
        <v>Mayor a 60 días</v>
      </c>
      <c r="L168" s="77"/>
      <c r="M168" s="77"/>
      <c r="N168" s="77"/>
      <c r="O168" s="77"/>
      <c r="P168" s="77"/>
      <c r="Q168" s="77"/>
      <c r="R168" s="77"/>
      <c r="S168" s="77"/>
      <c r="T168" s="77" t="s">
        <v>34</v>
      </c>
      <c r="U168" s="9" t="s">
        <v>60</v>
      </c>
      <c r="V168" s="9"/>
      <c r="W168" s="9"/>
      <c r="X168" s="9" t="s">
        <v>662</v>
      </c>
      <c r="Y168" s="85"/>
      <c r="Z168" s="85"/>
      <c r="AA168" s="85"/>
      <c r="AB168" s="85"/>
    </row>
    <row r="169" spans="1:28" hidden="1">
      <c r="A169" s="5" t="s">
        <v>663</v>
      </c>
      <c r="B169" s="104" t="s">
        <v>664</v>
      </c>
      <c r="C169" s="104" t="s">
        <v>26</v>
      </c>
      <c r="D169" s="6" t="s">
        <v>665</v>
      </c>
      <c r="E169" s="6" t="s">
        <v>666</v>
      </c>
      <c r="F169" s="7">
        <v>45803</v>
      </c>
      <c r="G169" s="74"/>
      <c r="H169" s="74">
        <v>45954</v>
      </c>
      <c r="I169" s="74">
        <v>45957</v>
      </c>
      <c r="J169" s="83">
        <f t="shared" ca="1" si="31"/>
        <v>227</v>
      </c>
      <c r="K169" s="82" t="str">
        <f t="shared" ca="1" si="32"/>
        <v>Mayor a 60 días</v>
      </c>
      <c r="L169" s="77" t="s">
        <v>29</v>
      </c>
      <c r="M169" s="77" t="s">
        <v>30</v>
      </c>
      <c r="N169" s="77" t="s">
        <v>30</v>
      </c>
      <c r="O169" s="77" t="s">
        <v>31</v>
      </c>
      <c r="P169" s="77" t="s">
        <v>29</v>
      </c>
      <c r="Q169" s="77" t="s">
        <v>30</v>
      </c>
      <c r="R169" s="77" t="s">
        <v>30</v>
      </c>
      <c r="S169" s="77" t="s">
        <v>30</v>
      </c>
      <c r="T169" s="77" t="s">
        <v>34</v>
      </c>
      <c r="U169" s="9" t="s">
        <v>35</v>
      </c>
      <c r="V169" s="9"/>
      <c r="W169" s="9"/>
      <c r="X169" s="9"/>
      <c r="Y169" s="85"/>
      <c r="Z169" s="85"/>
      <c r="AA169" s="85"/>
      <c r="AB169" s="85"/>
    </row>
    <row r="170" spans="1:28" hidden="1">
      <c r="A170" s="5" t="s">
        <v>667</v>
      </c>
      <c r="B170" s="6" t="s">
        <v>668</v>
      </c>
      <c r="C170" s="6" t="s">
        <v>400</v>
      </c>
      <c r="D170" s="6" t="s">
        <v>669</v>
      </c>
      <c r="E170" s="6" t="s">
        <v>670</v>
      </c>
      <c r="F170" s="7">
        <v>45838</v>
      </c>
      <c r="G170" s="74">
        <v>45867</v>
      </c>
      <c r="H170" s="74"/>
      <c r="I170" s="74">
        <v>45863</v>
      </c>
      <c r="J170" s="83">
        <f t="shared" ca="1" si="31"/>
        <v>202</v>
      </c>
      <c r="K170" s="82" t="str">
        <f t="shared" ca="1" si="32"/>
        <v>Mayor a 60 días</v>
      </c>
      <c r="L170" s="77" t="s">
        <v>30</v>
      </c>
      <c r="M170" s="77" t="s">
        <v>30</v>
      </c>
      <c r="N170" s="77" t="s">
        <v>30</v>
      </c>
      <c r="O170" s="77" t="s">
        <v>30</v>
      </c>
      <c r="P170" s="77" t="s">
        <v>30</v>
      </c>
      <c r="Q170" s="77" t="s">
        <v>30</v>
      </c>
      <c r="R170" s="77" t="s">
        <v>48</v>
      </c>
      <c r="S170" s="77" t="s">
        <v>33</v>
      </c>
      <c r="T170" s="77" t="s">
        <v>34</v>
      </c>
      <c r="U170" s="9" t="s">
        <v>35</v>
      </c>
      <c r="V170" s="9" t="s">
        <v>49</v>
      </c>
      <c r="W170" s="9" t="s">
        <v>50</v>
      </c>
      <c r="X170" s="9"/>
      <c r="Y170" s="85"/>
      <c r="Z170" s="85"/>
      <c r="AA170" s="85"/>
      <c r="AB170" s="85"/>
    </row>
    <row r="171" spans="1:28" hidden="1">
      <c r="A171" s="5" t="s">
        <v>671</v>
      </c>
      <c r="B171" s="6" t="s">
        <v>672</v>
      </c>
      <c r="C171" s="6" t="s">
        <v>26</v>
      </c>
      <c r="D171" s="6" t="s">
        <v>673</v>
      </c>
      <c r="E171" s="6" t="s">
        <v>674</v>
      </c>
      <c r="F171" s="7">
        <v>45838</v>
      </c>
      <c r="G171" s="74">
        <v>45867</v>
      </c>
      <c r="H171" s="74">
        <v>45846</v>
      </c>
      <c r="I171" s="74">
        <v>45846</v>
      </c>
      <c r="J171" s="83">
        <f t="shared" ca="1" si="31"/>
        <v>202</v>
      </c>
      <c r="K171" s="82" t="str">
        <f t="shared" ca="1" si="32"/>
        <v>Mayor a 60 días</v>
      </c>
      <c r="L171" s="77" t="s">
        <v>29</v>
      </c>
      <c r="M171" s="77" t="s">
        <v>29</v>
      </c>
      <c r="N171" s="77" t="s">
        <v>29</v>
      </c>
      <c r="O171" s="77" t="s">
        <v>31</v>
      </c>
      <c r="P171" s="77" t="s">
        <v>29</v>
      </c>
      <c r="Q171" s="77" t="s">
        <v>30</v>
      </c>
      <c r="R171" s="77" t="s">
        <v>30</v>
      </c>
      <c r="S171" s="77" t="s">
        <v>30</v>
      </c>
      <c r="T171" s="77" t="s">
        <v>34</v>
      </c>
      <c r="U171" s="9" t="s">
        <v>35</v>
      </c>
      <c r="V171" s="9" t="s">
        <v>49</v>
      </c>
      <c r="W171" s="9" t="s">
        <v>40</v>
      </c>
      <c r="X171" s="9" t="s">
        <v>675</v>
      </c>
      <c r="Y171" s="85"/>
      <c r="Z171" s="85"/>
      <c r="AA171" s="85"/>
      <c r="AB171" s="85"/>
    </row>
    <row r="172" spans="1:28" hidden="1">
      <c r="A172" s="5" t="s">
        <v>676</v>
      </c>
      <c r="B172" s="104" t="s">
        <v>677</v>
      </c>
      <c r="C172" s="6" t="s">
        <v>26</v>
      </c>
      <c r="D172" s="6" t="s">
        <v>378</v>
      </c>
      <c r="E172" s="6" t="s">
        <v>30</v>
      </c>
      <c r="F172" s="7">
        <v>45838</v>
      </c>
      <c r="G172" s="74">
        <v>45867</v>
      </c>
      <c r="H172" s="74">
        <v>45868</v>
      </c>
      <c r="I172" s="74">
        <v>45868</v>
      </c>
      <c r="J172" s="83">
        <f t="shared" ref="J172" ca="1" si="35">NETWORKDAYS(F172,TODAY())</f>
        <v>202</v>
      </c>
      <c r="K172" s="82" t="str">
        <f t="shared" ref="K172" ca="1" si="36">IF(J172&lt;30,"Menor a 30 días",IF(J172&lt;60,"Entre 30 y 60 días","Mayor a 60 días"))</f>
        <v>Mayor a 60 días</v>
      </c>
      <c r="L172" s="77" t="s">
        <v>30</v>
      </c>
      <c r="M172" s="77" t="s">
        <v>30</v>
      </c>
      <c r="N172" s="77" t="s">
        <v>30</v>
      </c>
      <c r="O172" s="77" t="s">
        <v>30</v>
      </c>
      <c r="P172" s="77" t="s">
        <v>30</v>
      </c>
      <c r="Q172" s="77" t="s">
        <v>32</v>
      </c>
      <c r="R172" s="77" t="s">
        <v>30</v>
      </c>
      <c r="S172" s="77" t="s">
        <v>30</v>
      </c>
      <c r="T172" s="77" t="s">
        <v>34</v>
      </c>
      <c r="U172" s="9" t="s">
        <v>35</v>
      </c>
      <c r="V172" s="9"/>
      <c r="W172" s="9" t="s">
        <v>364</v>
      </c>
      <c r="X172" s="9" t="s">
        <v>678</v>
      </c>
      <c r="Y172" s="85"/>
      <c r="Z172" s="85"/>
      <c r="AA172" s="85"/>
      <c r="AB172" s="85"/>
    </row>
    <row r="173" spans="1:28" hidden="1">
      <c r="A173" s="5" t="s">
        <v>679</v>
      </c>
      <c r="B173" s="6" t="s">
        <v>680</v>
      </c>
      <c r="C173" s="6" t="s">
        <v>26</v>
      </c>
      <c r="D173" s="6" t="s">
        <v>681</v>
      </c>
      <c r="E173" s="6" t="s">
        <v>30</v>
      </c>
      <c r="F173" s="7">
        <v>45838</v>
      </c>
      <c r="G173" s="74">
        <v>45866</v>
      </c>
      <c r="H173" s="74">
        <v>45854</v>
      </c>
      <c r="I173" s="74">
        <v>45854</v>
      </c>
      <c r="J173" s="83">
        <f t="shared" ref="J173" ca="1" si="37">NETWORKDAYS(F173,TODAY())</f>
        <v>202</v>
      </c>
      <c r="K173" s="82" t="str">
        <f t="shared" ref="K173" ca="1" si="38">IF(J173&lt;30,"Menor a 30 días",IF(J173&lt;60,"Entre 30 y 60 días","Mayor a 60 días"))</f>
        <v>Mayor a 60 días</v>
      </c>
      <c r="L173" s="77" t="s">
        <v>30</v>
      </c>
      <c r="M173" s="77" t="s">
        <v>30</v>
      </c>
      <c r="N173" s="77" t="s">
        <v>30</v>
      </c>
      <c r="O173" s="77" t="s">
        <v>30</v>
      </c>
      <c r="P173" s="77" t="s">
        <v>30</v>
      </c>
      <c r="Q173" s="77" t="s">
        <v>30</v>
      </c>
      <c r="R173" s="77" t="s">
        <v>30</v>
      </c>
      <c r="S173" s="77" t="s">
        <v>30</v>
      </c>
      <c r="T173" s="77" t="s">
        <v>34</v>
      </c>
      <c r="U173" s="9" t="s">
        <v>35</v>
      </c>
      <c r="V173" s="9" t="s">
        <v>70</v>
      </c>
      <c r="W173" s="9" t="s">
        <v>111</v>
      </c>
      <c r="X173" s="9" t="s">
        <v>682</v>
      </c>
      <c r="Y173" s="85"/>
      <c r="Z173" s="85"/>
      <c r="AA173" s="85"/>
      <c r="AB173" s="85"/>
    </row>
    <row r="174" spans="1:28" hidden="1">
      <c r="A174" s="5" t="s">
        <v>683</v>
      </c>
      <c r="B174" s="6" t="s">
        <v>684</v>
      </c>
      <c r="C174" s="6" t="s">
        <v>26</v>
      </c>
      <c r="D174" s="6" t="s">
        <v>685</v>
      </c>
      <c r="E174" s="6" t="s">
        <v>30</v>
      </c>
      <c r="F174" s="7">
        <v>45840</v>
      </c>
      <c r="G174" s="74">
        <v>45847</v>
      </c>
      <c r="H174" s="74">
        <v>45867</v>
      </c>
      <c r="I174" s="74">
        <v>45867</v>
      </c>
      <c r="J174" s="83">
        <f t="shared" ref="J174" ca="1" si="39">NETWORKDAYS(F174,TODAY())</f>
        <v>200</v>
      </c>
      <c r="K174" s="82" t="str">
        <f t="shared" ref="K174" ca="1" si="40">IF(J174&lt;30,"Menor a 30 días",IF(J174&lt;60,"Entre 30 y 60 días","Mayor a 60 días"))</f>
        <v>Mayor a 60 días</v>
      </c>
      <c r="L174" s="77" t="s">
        <v>30</v>
      </c>
      <c r="M174" s="77" t="s">
        <v>30</v>
      </c>
      <c r="N174" s="77" t="s">
        <v>30</v>
      </c>
      <c r="O174" s="77" t="s">
        <v>30</v>
      </c>
      <c r="P174" s="77" t="s">
        <v>30</v>
      </c>
      <c r="Q174" s="77" t="s">
        <v>32</v>
      </c>
      <c r="R174" s="77" t="s">
        <v>30</v>
      </c>
      <c r="S174" s="77" t="s">
        <v>30</v>
      </c>
      <c r="T174" s="77" t="s">
        <v>34</v>
      </c>
      <c r="U174" s="9" t="s">
        <v>35</v>
      </c>
      <c r="V174" s="9"/>
      <c r="W174" s="9" t="s">
        <v>364</v>
      </c>
      <c r="X174" s="9" t="s">
        <v>686</v>
      </c>
      <c r="Y174" s="85"/>
      <c r="Z174" s="85"/>
      <c r="AA174" s="85"/>
      <c r="AB174" s="85"/>
    </row>
    <row r="175" spans="1:28" hidden="1">
      <c r="A175" s="5" t="s">
        <v>687</v>
      </c>
      <c r="B175" s="6" t="s">
        <v>688</v>
      </c>
      <c r="C175" s="6" t="s">
        <v>26</v>
      </c>
      <c r="D175" s="6" t="s">
        <v>153</v>
      </c>
      <c r="E175" s="6" t="s">
        <v>30</v>
      </c>
      <c r="F175" s="7">
        <v>45840</v>
      </c>
      <c r="G175" s="74">
        <v>45847</v>
      </c>
      <c r="H175" s="74">
        <v>45863</v>
      </c>
      <c r="I175" s="74">
        <v>45863</v>
      </c>
      <c r="J175" s="83">
        <f t="shared" ref="J175:J176" ca="1" si="41">NETWORKDAYS(F175,TODAY())</f>
        <v>200</v>
      </c>
      <c r="K175" s="82" t="str">
        <f t="shared" ref="K175:K176" ca="1" si="42">IF(J175&lt;30,"Menor a 30 días",IF(J175&lt;60,"Entre 30 y 60 días","Mayor a 60 días"))</f>
        <v>Mayor a 60 días</v>
      </c>
      <c r="L175" s="77" t="s">
        <v>30</v>
      </c>
      <c r="M175" s="77" t="s">
        <v>30</v>
      </c>
      <c r="N175" s="77" t="s">
        <v>30</v>
      </c>
      <c r="O175" s="77" t="s">
        <v>30</v>
      </c>
      <c r="P175" s="77" t="s">
        <v>30</v>
      </c>
      <c r="Q175" s="77" t="s">
        <v>30</v>
      </c>
      <c r="R175" s="77" t="s">
        <v>30</v>
      </c>
      <c r="S175" s="77" t="s">
        <v>30</v>
      </c>
      <c r="T175" s="77" t="s">
        <v>34</v>
      </c>
      <c r="U175" s="9" t="s">
        <v>35</v>
      </c>
      <c r="V175" s="9" t="s">
        <v>36</v>
      </c>
      <c r="W175" s="9" t="s">
        <v>1</v>
      </c>
      <c r="X175" s="9" t="s">
        <v>689</v>
      </c>
      <c r="Y175" s="85"/>
      <c r="Z175" s="85"/>
      <c r="AA175" s="85"/>
      <c r="AB175" s="85"/>
    </row>
    <row r="176" spans="1:28" hidden="1">
      <c r="A176" s="5" t="s">
        <v>690</v>
      </c>
      <c r="B176" s="6" t="s">
        <v>691</v>
      </c>
      <c r="C176" s="6" t="s">
        <v>400</v>
      </c>
      <c r="D176" s="6" t="s">
        <v>518</v>
      </c>
      <c r="E176" s="6" t="s">
        <v>692</v>
      </c>
      <c r="F176" s="7">
        <v>45841</v>
      </c>
      <c r="G176" s="74">
        <v>45846</v>
      </c>
      <c r="H176" s="74"/>
      <c r="I176" s="74">
        <v>45847</v>
      </c>
      <c r="J176" s="83">
        <f t="shared" ca="1" si="41"/>
        <v>199</v>
      </c>
      <c r="K176" s="82" t="str">
        <f t="shared" ca="1" si="42"/>
        <v>Mayor a 60 días</v>
      </c>
      <c r="L176" s="77" t="s">
        <v>29</v>
      </c>
      <c r="M176" s="77" t="s">
        <v>30</v>
      </c>
      <c r="N176" s="77" t="s">
        <v>30</v>
      </c>
      <c r="O176" s="77" t="s">
        <v>30</v>
      </c>
      <c r="P176" s="77" t="s">
        <v>29</v>
      </c>
      <c r="Q176" s="77" t="s">
        <v>30</v>
      </c>
      <c r="R176" s="77" t="s">
        <v>30</v>
      </c>
      <c r="S176" s="77" t="s">
        <v>30</v>
      </c>
      <c r="T176" s="77" t="s">
        <v>34</v>
      </c>
      <c r="U176" s="9" t="s">
        <v>35</v>
      </c>
      <c r="V176" s="9" t="s">
        <v>49</v>
      </c>
      <c r="W176" s="9" t="s">
        <v>50</v>
      </c>
      <c r="X176" s="9"/>
      <c r="Y176" s="85"/>
      <c r="Z176" s="85"/>
      <c r="AA176" s="85"/>
      <c r="AB176" s="85"/>
    </row>
    <row r="177" spans="1:28" hidden="1">
      <c r="A177" s="5" t="s">
        <v>693</v>
      </c>
      <c r="B177" s="6" t="s">
        <v>694</v>
      </c>
      <c r="C177" s="6" t="s">
        <v>26</v>
      </c>
      <c r="D177" s="6" t="s">
        <v>695</v>
      </c>
      <c r="E177" s="6" t="s">
        <v>30</v>
      </c>
      <c r="F177" s="7">
        <v>45842</v>
      </c>
      <c r="G177" s="74">
        <v>45847</v>
      </c>
      <c r="H177" s="74">
        <v>45846</v>
      </c>
      <c r="I177" s="74">
        <v>45846</v>
      </c>
      <c r="J177" s="83">
        <f t="shared" ref="J177" ca="1" si="43">NETWORKDAYS(F177,TODAY())</f>
        <v>198</v>
      </c>
      <c r="K177" s="82" t="str">
        <f t="shared" ref="K177" ca="1" si="44">IF(J177&lt;30,"Menor a 30 días",IF(J177&lt;60,"Entre 30 y 60 días","Mayor a 60 días"))</f>
        <v>Mayor a 60 días</v>
      </c>
      <c r="L177" s="77" t="s">
        <v>30</v>
      </c>
      <c r="M177" s="77" t="s">
        <v>30</v>
      </c>
      <c r="N177" s="77" t="s">
        <v>30</v>
      </c>
      <c r="O177" s="77" t="s">
        <v>30</v>
      </c>
      <c r="P177" s="77" t="s">
        <v>30</v>
      </c>
      <c r="Q177" s="77" t="s">
        <v>30</v>
      </c>
      <c r="R177" s="77" t="s">
        <v>30</v>
      </c>
      <c r="S177" s="77" t="s">
        <v>30</v>
      </c>
      <c r="T177" s="77" t="s">
        <v>34</v>
      </c>
      <c r="U177" s="9" t="s">
        <v>35</v>
      </c>
      <c r="V177" s="9" t="s">
        <v>36</v>
      </c>
      <c r="W177" s="9" t="s">
        <v>1</v>
      </c>
      <c r="X177" s="9" t="s">
        <v>696</v>
      </c>
      <c r="Y177" s="85"/>
      <c r="Z177" s="85"/>
      <c r="AA177" s="85"/>
      <c r="AB177" s="85"/>
    </row>
    <row r="178" spans="1:28" hidden="1">
      <c r="A178" s="5" t="s">
        <v>697</v>
      </c>
      <c r="B178" s="104" t="s">
        <v>698</v>
      </c>
      <c r="C178" s="104" t="s">
        <v>400</v>
      </c>
      <c r="D178" s="6" t="s">
        <v>699</v>
      </c>
      <c r="E178" s="6" t="s">
        <v>700</v>
      </c>
      <c r="F178" s="7">
        <v>45845</v>
      </c>
      <c r="G178" s="74">
        <v>45873</v>
      </c>
      <c r="H178" s="74">
        <v>45890</v>
      </c>
      <c r="I178" s="74">
        <v>45894</v>
      </c>
      <c r="J178" s="83">
        <f ca="1">NETWORKDAYS(F178,TODAY())</f>
        <v>197</v>
      </c>
      <c r="K178" s="82" t="str">
        <f ca="1">IF(J178&lt;30,"Menor a 30 días",IF(J178&lt;60,"Entre 30 y 60 días","Mayor a 60 días"))</f>
        <v>Mayor a 60 días</v>
      </c>
      <c r="L178" s="77" t="s">
        <v>176</v>
      </c>
      <c r="M178" s="77" t="s">
        <v>30</v>
      </c>
      <c r="N178" s="77" t="s">
        <v>30</v>
      </c>
      <c r="O178" s="77" t="s">
        <v>30</v>
      </c>
      <c r="P178" s="77" t="s">
        <v>30</v>
      </c>
      <c r="Q178" s="77" t="s">
        <v>32</v>
      </c>
      <c r="R178" s="77" t="s">
        <v>30</v>
      </c>
      <c r="S178" s="77"/>
      <c r="T178" s="77" t="s">
        <v>34</v>
      </c>
      <c r="U178" s="9" t="s">
        <v>35</v>
      </c>
      <c r="V178" s="9"/>
      <c r="W178" s="9"/>
      <c r="X178" s="9" t="s">
        <v>701</v>
      </c>
      <c r="Y178" s="85"/>
      <c r="Z178" s="85"/>
      <c r="AA178" s="85"/>
      <c r="AB178" s="85"/>
    </row>
    <row r="179" spans="1:28" hidden="1">
      <c r="A179" s="5" t="s">
        <v>702</v>
      </c>
      <c r="B179" s="6" t="s">
        <v>703</v>
      </c>
      <c r="C179" s="6" t="s">
        <v>400</v>
      </c>
      <c r="D179" s="6" t="s">
        <v>704</v>
      </c>
      <c r="E179" s="6" t="s">
        <v>705</v>
      </c>
      <c r="F179" s="7">
        <v>45834</v>
      </c>
      <c r="G179" s="74"/>
      <c r="H179" s="74"/>
      <c r="I179" s="74">
        <v>45847</v>
      </c>
      <c r="J179" s="83">
        <f ca="1">NETWORKDAYS(F179,TODAY())</f>
        <v>204</v>
      </c>
      <c r="K179" s="82"/>
      <c r="L179" s="88" t="s">
        <v>29</v>
      </c>
      <c r="M179" s="88" t="s">
        <v>30</v>
      </c>
      <c r="N179" s="88" t="s">
        <v>30</v>
      </c>
      <c r="O179" s="88" t="s">
        <v>30</v>
      </c>
      <c r="P179" s="88" t="s">
        <v>30</v>
      </c>
      <c r="Q179" s="88" t="s">
        <v>32</v>
      </c>
      <c r="R179" s="88" t="s">
        <v>30</v>
      </c>
      <c r="S179" s="88" t="s">
        <v>30</v>
      </c>
      <c r="T179" s="88" t="s">
        <v>34</v>
      </c>
      <c r="U179" s="72" t="s">
        <v>35</v>
      </c>
      <c r="V179" s="72"/>
      <c r="W179" s="9" t="s">
        <v>50</v>
      </c>
      <c r="X179" s="9" t="s">
        <v>706</v>
      </c>
      <c r="Y179" s="85"/>
      <c r="Z179" s="85"/>
      <c r="AA179" s="85"/>
      <c r="AB179" s="85"/>
    </row>
    <row r="180" spans="1:28" hidden="1">
      <c r="A180" s="5" t="s">
        <v>707</v>
      </c>
      <c r="B180" s="6" t="s">
        <v>708</v>
      </c>
      <c r="C180" s="6" t="s">
        <v>26</v>
      </c>
      <c r="D180" s="6" t="s">
        <v>214</v>
      </c>
      <c r="E180" s="6" t="s">
        <v>30</v>
      </c>
      <c r="F180" s="7">
        <v>45845</v>
      </c>
      <c r="G180" s="74">
        <v>45874</v>
      </c>
      <c r="H180" s="74">
        <v>45866</v>
      </c>
      <c r="I180" s="74">
        <v>45866</v>
      </c>
      <c r="J180" s="83">
        <f ca="1">NETWORKDAYS(F180,TODAY())</f>
        <v>197</v>
      </c>
      <c r="K180" s="82" t="str">
        <f ca="1">IF(J180&lt;30,"Menor a 30 días",IF(J180&lt;60,"Entre 30 y 60 días","Mayor a 60 días"))</f>
        <v>Mayor a 60 días</v>
      </c>
      <c r="L180" s="77" t="s">
        <v>30</v>
      </c>
      <c r="M180" s="77" t="s">
        <v>30</v>
      </c>
      <c r="N180" s="77" t="s">
        <v>30</v>
      </c>
      <c r="O180" s="77" t="s">
        <v>30</v>
      </c>
      <c r="P180" s="77" t="s">
        <v>30</v>
      </c>
      <c r="Q180" s="77" t="s">
        <v>30</v>
      </c>
      <c r="R180" s="77" t="s">
        <v>30</v>
      </c>
      <c r="S180" s="77" t="s">
        <v>30</v>
      </c>
      <c r="T180" s="77" t="s">
        <v>34</v>
      </c>
      <c r="U180" s="9" t="s">
        <v>35</v>
      </c>
      <c r="V180" s="9" t="s">
        <v>70</v>
      </c>
      <c r="W180" s="9" t="s">
        <v>111</v>
      </c>
      <c r="X180" s="9" t="s">
        <v>709</v>
      </c>
      <c r="Y180" s="85"/>
      <c r="Z180" s="85"/>
      <c r="AA180" s="85"/>
      <c r="AB180" s="85"/>
    </row>
    <row r="181" spans="1:28" hidden="1">
      <c r="A181" s="5" t="s">
        <v>710</v>
      </c>
      <c r="B181" s="104" t="s">
        <v>711</v>
      </c>
      <c r="C181" s="104" t="s">
        <v>26</v>
      </c>
      <c r="D181" s="104" t="s">
        <v>712</v>
      </c>
      <c r="E181" s="104" t="s">
        <v>30</v>
      </c>
      <c r="F181" s="116">
        <v>45847</v>
      </c>
      <c r="G181" s="117">
        <v>45861</v>
      </c>
      <c r="H181" s="117">
        <v>45861</v>
      </c>
      <c r="I181" s="117">
        <v>45861</v>
      </c>
      <c r="J181" s="83">
        <f ca="1">NETWORKDAYS(F181,TODAY())</f>
        <v>195</v>
      </c>
      <c r="K181" s="82" t="str">
        <f ca="1">IF(J181&lt;30,"Menor a 30 días",IF(J181&lt;60,"Entre 30 y 60 días","Mayor a 60 días"))</f>
        <v>Mayor a 60 días</v>
      </c>
      <c r="L181" s="77" t="s">
        <v>30</v>
      </c>
      <c r="M181" s="77" t="s">
        <v>30</v>
      </c>
      <c r="N181" s="77" t="s">
        <v>30</v>
      </c>
      <c r="O181" s="77" t="s">
        <v>30</v>
      </c>
      <c r="P181" s="77" t="s">
        <v>30</v>
      </c>
      <c r="Q181" s="77" t="s">
        <v>30</v>
      </c>
      <c r="R181" s="77" t="s">
        <v>30</v>
      </c>
      <c r="S181" s="77" t="s">
        <v>30</v>
      </c>
      <c r="T181" s="77" t="s">
        <v>34</v>
      </c>
      <c r="U181" s="9" t="s">
        <v>35</v>
      </c>
      <c r="V181" s="9" t="s">
        <v>49</v>
      </c>
      <c r="W181" s="9" t="s">
        <v>364</v>
      </c>
      <c r="X181" s="9" t="s">
        <v>713</v>
      </c>
      <c r="Y181" s="85"/>
      <c r="Z181" s="85"/>
      <c r="AA181" s="85"/>
      <c r="AB181" s="85"/>
    </row>
    <row r="182" spans="1:28" hidden="1">
      <c r="A182" s="5" t="s">
        <v>714</v>
      </c>
      <c r="B182" s="6" t="s">
        <v>715</v>
      </c>
      <c r="C182" s="6" t="s">
        <v>26</v>
      </c>
      <c r="D182" s="6" t="s">
        <v>54</v>
      </c>
      <c r="E182" s="6" t="s">
        <v>716</v>
      </c>
      <c r="F182" s="7">
        <v>45856</v>
      </c>
      <c r="G182" s="74">
        <v>45861</v>
      </c>
      <c r="H182" s="74">
        <v>45863</v>
      </c>
      <c r="I182" s="74">
        <v>45863</v>
      </c>
      <c r="J182" s="83">
        <f ca="1">NETWORKDAYS(F182,TODAY())</f>
        <v>188</v>
      </c>
      <c r="K182" s="82" t="str">
        <f ca="1">IF(J182&lt;30,"Menor a 30 días",IF(J182&lt;60,"Entre 30 y 60 días","Mayor a 60 días"))</f>
        <v>Mayor a 60 días</v>
      </c>
      <c r="L182" s="77" t="s">
        <v>30</v>
      </c>
      <c r="M182" s="77" t="s">
        <v>30</v>
      </c>
      <c r="N182" s="77" t="s">
        <v>30</v>
      </c>
      <c r="O182" s="77" t="s">
        <v>30</v>
      </c>
      <c r="P182" s="77" t="s">
        <v>30</v>
      </c>
      <c r="Q182" s="77" t="s">
        <v>30</v>
      </c>
      <c r="R182" s="77" t="s">
        <v>30</v>
      </c>
      <c r="S182" s="77" t="s">
        <v>30</v>
      </c>
      <c r="T182" s="77" t="s">
        <v>34</v>
      </c>
      <c r="U182" s="9" t="s">
        <v>35</v>
      </c>
      <c r="V182" s="9"/>
      <c r="W182" s="9"/>
      <c r="X182" s="9" t="s">
        <v>717</v>
      </c>
      <c r="Y182" s="85"/>
      <c r="Z182" s="85"/>
      <c r="AA182" s="85"/>
      <c r="AB182" s="85"/>
    </row>
    <row r="183" spans="1:28" hidden="1">
      <c r="A183" s="5" t="s">
        <v>718</v>
      </c>
      <c r="B183" s="6" t="s">
        <v>719</v>
      </c>
      <c r="C183" s="6" t="s">
        <v>26</v>
      </c>
      <c r="D183" s="6" t="s">
        <v>54</v>
      </c>
      <c r="E183" s="6" t="s">
        <v>720</v>
      </c>
      <c r="F183" s="7">
        <v>45854</v>
      </c>
      <c r="G183" s="74">
        <v>45883</v>
      </c>
      <c r="H183" s="74">
        <v>45902</v>
      </c>
      <c r="I183" s="74">
        <v>45902</v>
      </c>
      <c r="J183" s="83">
        <f ca="1">NETWORKDAYS(F183,TODAY())</f>
        <v>190</v>
      </c>
      <c r="K183" s="82" t="str">
        <f ca="1">IF(J183&lt;30,"Menor a 30 días",IF(J183&lt;60,"Entre 30 y 60 días","Mayor a 60 días"))</f>
        <v>Mayor a 60 días</v>
      </c>
      <c r="L183" s="77" t="s">
        <v>29</v>
      </c>
      <c r="M183" s="77" t="s">
        <v>30</v>
      </c>
      <c r="N183" s="77" t="s">
        <v>30</v>
      </c>
      <c r="O183" s="77" t="s">
        <v>31</v>
      </c>
      <c r="P183" s="77" t="s">
        <v>29</v>
      </c>
      <c r="Q183" s="77" t="s">
        <v>32</v>
      </c>
      <c r="R183" s="77" t="s">
        <v>30</v>
      </c>
      <c r="S183" s="77" t="s">
        <v>33</v>
      </c>
      <c r="T183" s="77" t="s">
        <v>34</v>
      </c>
      <c r="U183" s="9" t="s">
        <v>35</v>
      </c>
      <c r="V183" s="9"/>
      <c r="W183" s="9"/>
      <c r="X183" s="9" t="s">
        <v>721</v>
      </c>
      <c r="Y183" s="85"/>
      <c r="Z183" s="85"/>
      <c r="AA183" s="85"/>
      <c r="AB183" s="85"/>
    </row>
    <row r="184" spans="1:28" hidden="1">
      <c r="A184" s="5" t="s">
        <v>722</v>
      </c>
      <c r="B184" s="6" t="s">
        <v>178</v>
      </c>
      <c r="C184" s="6" t="s">
        <v>26</v>
      </c>
      <c r="D184" s="6" t="s">
        <v>723</v>
      </c>
      <c r="E184" s="6" t="s">
        <v>724</v>
      </c>
      <c r="F184" s="7">
        <v>45856</v>
      </c>
      <c r="G184" s="74">
        <v>45887</v>
      </c>
      <c r="H184" s="74">
        <v>45895</v>
      </c>
      <c r="I184" s="74">
        <v>45896</v>
      </c>
      <c r="J184" s="83">
        <f ca="1">NETWORKDAYS(F184,TODAY())</f>
        <v>188</v>
      </c>
      <c r="K184" s="82" t="str">
        <f ca="1">IF(J184&lt;30,"Menor a 30 días",IF(J184&lt;60,"Entre 30 y 60 días","Mayor a 60 días"))</f>
        <v>Mayor a 60 días</v>
      </c>
      <c r="L184" s="77" t="s">
        <v>29</v>
      </c>
      <c r="M184" s="77" t="s">
        <v>30</v>
      </c>
      <c r="N184" s="77" t="s">
        <v>30</v>
      </c>
      <c r="O184" s="77" t="s">
        <v>31</v>
      </c>
      <c r="P184" s="77" t="s">
        <v>29</v>
      </c>
      <c r="Q184" s="77" t="s">
        <v>32</v>
      </c>
      <c r="R184" s="77" t="s">
        <v>48</v>
      </c>
      <c r="S184" s="77" t="s">
        <v>33</v>
      </c>
      <c r="T184" s="77" t="s">
        <v>34</v>
      </c>
      <c r="U184" s="9" t="s">
        <v>35</v>
      </c>
      <c r="V184" s="9"/>
      <c r="W184" s="9"/>
      <c r="X184" s="9" t="s">
        <v>725</v>
      </c>
      <c r="Y184" s="85"/>
      <c r="Z184" s="85"/>
      <c r="AA184" s="85"/>
      <c r="AB184" s="85"/>
    </row>
    <row r="185" spans="1:28" hidden="1">
      <c r="A185" s="5" t="s">
        <v>726</v>
      </c>
      <c r="B185" s="104" t="s">
        <v>727</v>
      </c>
      <c r="C185" s="104" t="s">
        <v>400</v>
      </c>
      <c r="D185" s="6" t="s">
        <v>728</v>
      </c>
      <c r="E185" s="6" t="s">
        <v>729</v>
      </c>
      <c r="F185" s="7">
        <v>45859</v>
      </c>
      <c r="G185" s="74">
        <v>45887</v>
      </c>
      <c r="H185" s="74">
        <v>45876</v>
      </c>
      <c r="I185" s="74">
        <v>45876</v>
      </c>
      <c r="J185" s="83">
        <f ca="1">NETWORKDAYS(F185,TODAY())</f>
        <v>187</v>
      </c>
      <c r="K185" s="82" t="str">
        <f ca="1">IF(J185&lt;30,"Menor a 30 días",IF(J185&lt;60,"Entre 30 y 60 días","Mayor a 60 días"))</f>
        <v>Mayor a 60 días</v>
      </c>
      <c r="L185" s="77" t="s">
        <v>30</v>
      </c>
      <c r="M185" s="77" t="s">
        <v>30</v>
      </c>
      <c r="N185" s="77" t="s">
        <v>30</v>
      </c>
      <c r="O185" s="77" t="s">
        <v>30</v>
      </c>
      <c r="P185" s="77" t="s">
        <v>30</v>
      </c>
      <c r="Q185" s="77" t="s">
        <v>30</v>
      </c>
      <c r="R185" s="77" t="s">
        <v>30</v>
      </c>
      <c r="S185" s="77" t="s">
        <v>30</v>
      </c>
      <c r="T185" s="77" t="s">
        <v>34</v>
      </c>
      <c r="U185" s="9" t="s">
        <v>35</v>
      </c>
      <c r="V185" s="9"/>
      <c r="W185" s="9"/>
      <c r="X185" s="9"/>
      <c r="Y185" s="85"/>
      <c r="Z185" s="85"/>
      <c r="AA185" s="85"/>
      <c r="AB185" s="85"/>
    </row>
    <row r="186" spans="1:28" hidden="1">
      <c r="A186" s="5" t="s">
        <v>730</v>
      </c>
      <c r="B186" s="104" t="s">
        <v>731</v>
      </c>
      <c r="C186" s="104" t="s">
        <v>400</v>
      </c>
      <c r="D186" s="6" t="s">
        <v>732</v>
      </c>
      <c r="E186" s="6" t="s">
        <v>729</v>
      </c>
      <c r="F186" s="7">
        <v>45859</v>
      </c>
      <c r="G186" s="74">
        <v>45887</v>
      </c>
      <c r="H186" s="74">
        <v>45876</v>
      </c>
      <c r="I186" s="74">
        <v>45876</v>
      </c>
      <c r="J186" s="83">
        <f ca="1">NETWORKDAYS(F186,TODAY())</f>
        <v>187</v>
      </c>
      <c r="K186" s="82" t="str">
        <f ca="1">IF(J186&lt;30,"Menor a 30 días",IF(J186&lt;60,"Entre 30 y 60 días","Mayor a 60 días"))</f>
        <v>Mayor a 60 días</v>
      </c>
      <c r="L186" s="77" t="s">
        <v>30</v>
      </c>
      <c r="M186" s="77" t="s">
        <v>30</v>
      </c>
      <c r="N186" s="77" t="s">
        <v>30</v>
      </c>
      <c r="O186" s="77" t="s">
        <v>30</v>
      </c>
      <c r="P186" s="77" t="s">
        <v>30</v>
      </c>
      <c r="Q186" s="77" t="s">
        <v>30</v>
      </c>
      <c r="R186" s="77" t="s">
        <v>48</v>
      </c>
      <c r="S186" s="77" t="s">
        <v>30</v>
      </c>
      <c r="T186" s="77" t="s">
        <v>34</v>
      </c>
      <c r="U186" s="9" t="s">
        <v>35</v>
      </c>
      <c r="V186" s="9"/>
      <c r="W186" s="9"/>
      <c r="X186" s="9"/>
      <c r="Y186" s="85"/>
      <c r="Z186" s="85"/>
      <c r="AA186" s="85"/>
      <c r="AB186" s="85"/>
    </row>
    <row r="187" spans="1:28" hidden="1">
      <c r="A187" s="5" t="s">
        <v>733</v>
      </c>
      <c r="B187" s="6" t="s">
        <v>734</v>
      </c>
      <c r="C187" s="6" t="s">
        <v>26</v>
      </c>
      <c r="D187" s="6" t="s">
        <v>735</v>
      </c>
      <c r="E187" s="6" t="s">
        <v>736</v>
      </c>
      <c r="F187" s="7">
        <v>45860</v>
      </c>
      <c r="G187" s="74">
        <v>45889</v>
      </c>
      <c r="H187" s="74">
        <v>46041</v>
      </c>
      <c r="I187" s="74">
        <v>46041</v>
      </c>
      <c r="J187" s="83">
        <f t="shared" ref="J187:J189" ca="1" si="45">NETWORKDAYS(F187,TODAY())</f>
        <v>186</v>
      </c>
      <c r="K187" s="82" t="str">
        <f t="shared" ref="K187:K189" ca="1" si="46">IF(J187&lt;30,"Menor a 30 días",IF(J187&lt;60,"Entre 30 y 60 días","Mayor a 60 días"))</f>
        <v>Mayor a 60 días</v>
      </c>
      <c r="L187" s="77" t="s">
        <v>30</v>
      </c>
      <c r="M187" s="77" t="s">
        <v>30</v>
      </c>
      <c r="N187" s="77" t="s">
        <v>30</v>
      </c>
      <c r="O187" s="77" t="s">
        <v>30</v>
      </c>
      <c r="P187" s="77" t="s">
        <v>30</v>
      </c>
      <c r="Q187" s="77" t="s">
        <v>30</v>
      </c>
      <c r="R187" s="77" t="s">
        <v>30</v>
      </c>
      <c r="S187" s="77" t="s">
        <v>30</v>
      </c>
      <c r="T187" s="77" t="s">
        <v>34</v>
      </c>
      <c r="U187" s="9" t="s">
        <v>35</v>
      </c>
      <c r="V187" s="9"/>
      <c r="W187" s="9"/>
      <c r="X187" s="9"/>
      <c r="Y187" s="85"/>
      <c r="Z187" s="85"/>
      <c r="AA187" s="85"/>
      <c r="AB187" s="85"/>
    </row>
    <row r="188" spans="1:28" ht="20.25" hidden="1">
      <c r="A188" s="5" t="s">
        <v>737</v>
      </c>
      <c r="B188" s="6" t="s">
        <v>738</v>
      </c>
      <c r="C188" s="6" t="s">
        <v>26</v>
      </c>
      <c r="D188" s="6" t="s">
        <v>91</v>
      </c>
      <c r="E188" s="6" t="s">
        <v>739</v>
      </c>
      <c r="F188" s="7">
        <v>45860</v>
      </c>
      <c r="G188" s="74">
        <v>45889</v>
      </c>
      <c r="H188" s="74">
        <v>46072</v>
      </c>
      <c r="I188" s="74"/>
      <c r="J188" s="83">
        <f t="shared" ca="1" si="45"/>
        <v>186</v>
      </c>
      <c r="K188" s="82" t="str">
        <f t="shared" ca="1" si="46"/>
        <v>Mayor a 60 días</v>
      </c>
      <c r="L188" s="77" t="s">
        <v>176</v>
      </c>
      <c r="M188" s="77" t="s">
        <v>30</v>
      </c>
      <c r="N188" s="77" t="s">
        <v>30</v>
      </c>
      <c r="O188" s="77" t="s">
        <v>31</v>
      </c>
      <c r="P188" s="77" t="s">
        <v>29</v>
      </c>
      <c r="Q188" s="77" t="s">
        <v>32</v>
      </c>
      <c r="R188" s="77" t="s">
        <v>30</v>
      </c>
      <c r="S188" s="77" t="s">
        <v>33</v>
      </c>
      <c r="T188" s="77" t="s">
        <v>34</v>
      </c>
      <c r="U188" s="9" t="s">
        <v>35</v>
      </c>
      <c r="V188" s="9"/>
      <c r="W188" s="9"/>
      <c r="X188" s="9"/>
      <c r="Y188" s="85"/>
      <c r="Z188" s="85"/>
      <c r="AA188" s="85"/>
      <c r="AB188" s="85"/>
    </row>
    <row r="189" spans="1:28" hidden="1">
      <c r="A189" s="5" t="s">
        <v>740</v>
      </c>
      <c r="B189" s="6" t="s">
        <v>741</v>
      </c>
      <c r="C189" s="6" t="s">
        <v>26</v>
      </c>
      <c r="D189" s="6" t="s">
        <v>742</v>
      </c>
      <c r="E189" s="6" t="s">
        <v>743</v>
      </c>
      <c r="F189" s="7">
        <v>45860</v>
      </c>
      <c r="G189" s="74">
        <v>45889</v>
      </c>
      <c r="H189" s="74">
        <v>45863</v>
      </c>
      <c r="I189" s="74">
        <v>45863</v>
      </c>
      <c r="J189" s="83">
        <f t="shared" ca="1" si="45"/>
        <v>186</v>
      </c>
      <c r="K189" s="82" t="str">
        <f t="shared" ca="1" si="46"/>
        <v>Mayor a 60 días</v>
      </c>
      <c r="L189" s="77" t="s">
        <v>30</v>
      </c>
      <c r="M189" s="77" t="s">
        <v>30</v>
      </c>
      <c r="N189" s="77" t="s">
        <v>30</v>
      </c>
      <c r="O189" s="77" t="s">
        <v>30</v>
      </c>
      <c r="P189" s="77" t="s">
        <v>30</v>
      </c>
      <c r="Q189" s="77" t="s">
        <v>30</v>
      </c>
      <c r="R189" s="77" t="s">
        <v>30</v>
      </c>
      <c r="S189" s="77" t="s">
        <v>30</v>
      </c>
      <c r="T189" s="77" t="s">
        <v>34</v>
      </c>
      <c r="U189" s="9" t="s">
        <v>35</v>
      </c>
      <c r="V189" s="9"/>
      <c r="W189" s="9"/>
      <c r="X189" s="9"/>
      <c r="Y189" s="85"/>
      <c r="Z189" s="85"/>
      <c r="AA189" s="85"/>
      <c r="AB189" s="85"/>
    </row>
    <row r="190" spans="1:28" hidden="1">
      <c r="A190" s="5" t="s">
        <v>744</v>
      </c>
      <c r="B190" s="6" t="s">
        <v>745</v>
      </c>
      <c r="C190" s="6" t="s">
        <v>26</v>
      </c>
      <c r="D190" s="6" t="s">
        <v>746</v>
      </c>
      <c r="E190" s="6" t="s">
        <v>30</v>
      </c>
      <c r="F190" s="7">
        <v>45867</v>
      </c>
      <c r="G190" s="74">
        <v>45894</v>
      </c>
      <c r="H190" s="74">
        <v>45957</v>
      </c>
      <c r="I190" s="74">
        <v>45957</v>
      </c>
      <c r="J190" s="83">
        <f t="shared" ref="J190" ca="1" si="47">NETWORKDAYS(F190,TODAY())</f>
        <v>181</v>
      </c>
      <c r="K190" s="82" t="str">
        <f t="shared" ref="K190" ca="1" si="48">IF(J190&lt;30,"Menor a 30 días",IF(J190&lt;60,"Entre 30 y 60 días","Mayor a 60 días"))</f>
        <v>Mayor a 60 días</v>
      </c>
      <c r="L190" s="77" t="s">
        <v>30</v>
      </c>
      <c r="M190" s="77" t="s">
        <v>30</v>
      </c>
      <c r="N190" s="77" t="s">
        <v>30</v>
      </c>
      <c r="O190" s="77" t="s">
        <v>30</v>
      </c>
      <c r="P190" s="77" t="s">
        <v>30</v>
      </c>
      <c r="Q190" s="77" t="s">
        <v>30</v>
      </c>
      <c r="R190" s="77" t="s">
        <v>30</v>
      </c>
      <c r="S190" s="77" t="s">
        <v>30</v>
      </c>
      <c r="T190" s="77" t="s">
        <v>34</v>
      </c>
      <c r="U190" s="9" t="s">
        <v>35</v>
      </c>
      <c r="V190" s="9" t="s">
        <v>49</v>
      </c>
      <c r="W190" s="9" t="s">
        <v>50</v>
      </c>
      <c r="X190" s="9" t="s">
        <v>747</v>
      </c>
      <c r="Y190" s="85"/>
      <c r="Z190" s="85"/>
      <c r="AA190" s="85"/>
      <c r="AB190" s="85"/>
    </row>
    <row r="191" spans="1:28" hidden="1">
      <c r="A191" s="5" t="s">
        <v>748</v>
      </c>
      <c r="B191" s="6" t="s">
        <v>749</v>
      </c>
      <c r="C191" s="6" t="s">
        <v>26</v>
      </c>
      <c r="D191" s="6" t="s">
        <v>229</v>
      </c>
      <c r="E191" s="6" t="s">
        <v>750</v>
      </c>
      <c r="F191" s="7">
        <v>45863</v>
      </c>
      <c r="G191" s="74">
        <v>45894</v>
      </c>
      <c r="H191" s="74">
        <v>45898</v>
      </c>
      <c r="I191" s="74">
        <v>45898</v>
      </c>
      <c r="J191" s="83">
        <f t="shared" ref="J191" ca="1" si="49">NETWORKDAYS(F191,TODAY())</f>
        <v>183</v>
      </c>
      <c r="K191" s="82" t="str">
        <f t="shared" ref="K191" ca="1" si="50">IF(J191&lt;30,"Menor a 30 días",IF(J191&lt;60,"Entre 30 y 60 días","Mayor a 60 días"))</f>
        <v>Mayor a 60 días</v>
      </c>
      <c r="L191" s="77" t="s">
        <v>29</v>
      </c>
      <c r="M191" s="77" t="s">
        <v>30</v>
      </c>
      <c r="N191" s="77" t="s">
        <v>30</v>
      </c>
      <c r="O191" s="77" t="s">
        <v>31</v>
      </c>
      <c r="P191" s="77" t="s">
        <v>29</v>
      </c>
      <c r="Q191" s="77" t="s">
        <v>32</v>
      </c>
      <c r="R191" s="77" t="s">
        <v>30</v>
      </c>
      <c r="S191" s="77" t="s">
        <v>33</v>
      </c>
      <c r="T191" s="77" t="s">
        <v>34</v>
      </c>
      <c r="U191" s="9" t="s">
        <v>35</v>
      </c>
      <c r="V191" s="9"/>
      <c r="W191" s="9"/>
      <c r="X191" s="9"/>
      <c r="Y191" s="85"/>
      <c r="Z191" s="85"/>
      <c r="AA191" s="85"/>
      <c r="AB191" s="85"/>
    </row>
    <row r="192" spans="1:28" hidden="1">
      <c r="A192" s="5" t="s">
        <v>751</v>
      </c>
      <c r="B192" s="6" t="s">
        <v>752</v>
      </c>
      <c r="C192" s="6" t="s">
        <v>26</v>
      </c>
      <c r="D192" s="6" t="s">
        <v>753</v>
      </c>
      <c r="E192" s="6" t="s">
        <v>754</v>
      </c>
      <c r="F192" s="7">
        <v>45869</v>
      </c>
      <c r="G192" s="74">
        <v>45897</v>
      </c>
      <c r="H192" s="74"/>
      <c r="I192" s="74"/>
      <c r="J192" s="83">
        <f t="shared" ref="J192" ca="1" si="51">NETWORKDAYS(F192,TODAY())</f>
        <v>179</v>
      </c>
      <c r="K192" s="82" t="str">
        <f t="shared" ref="K192" ca="1" si="52">IF(J192&lt;30,"Menor a 30 días",IF(J192&lt;60,"Entre 30 y 60 días","Mayor a 60 días"))</f>
        <v>Mayor a 60 días</v>
      </c>
      <c r="L192" s="77" t="s">
        <v>176</v>
      </c>
      <c r="M192" s="77" t="s">
        <v>93</v>
      </c>
      <c r="N192" s="77" t="s">
        <v>30</v>
      </c>
      <c r="O192" s="77" t="s">
        <v>142</v>
      </c>
      <c r="P192" s="77" t="s">
        <v>142</v>
      </c>
      <c r="Q192" s="77" t="s">
        <v>30</v>
      </c>
      <c r="R192" s="77" t="s">
        <v>30</v>
      </c>
      <c r="S192" s="77" t="s">
        <v>30</v>
      </c>
      <c r="T192" s="77" t="s">
        <v>93</v>
      </c>
      <c r="U192" s="9" t="s">
        <v>93</v>
      </c>
      <c r="V192" s="9"/>
      <c r="W192" s="9"/>
      <c r="X192" s="9"/>
      <c r="Y192" s="85"/>
      <c r="Z192" s="85"/>
      <c r="AA192" s="85"/>
      <c r="AB192" s="85"/>
    </row>
    <row r="193" spans="1:28" hidden="1">
      <c r="A193" s="5" t="s">
        <v>755</v>
      </c>
      <c r="B193" s="6" t="s">
        <v>756</v>
      </c>
      <c r="C193" s="6" t="s">
        <v>26</v>
      </c>
      <c r="D193" s="6" t="s">
        <v>331</v>
      </c>
      <c r="E193" s="6" t="s">
        <v>757</v>
      </c>
      <c r="F193" s="7">
        <v>45869</v>
      </c>
      <c r="G193" s="74">
        <v>45897</v>
      </c>
      <c r="H193" s="74"/>
      <c r="I193" s="74"/>
      <c r="J193" s="83">
        <f t="shared" ref="J193:J194" ca="1" si="53">NETWORKDAYS(F193,TODAY())</f>
        <v>179</v>
      </c>
      <c r="K193" s="82" t="str">
        <f t="shared" ref="K193:K194" ca="1" si="54">IF(J193&lt;30,"Menor a 30 días",IF(J193&lt;60,"Entre 30 y 60 días","Mayor a 60 días"))</f>
        <v>Mayor a 60 días</v>
      </c>
      <c r="L193" s="77" t="s">
        <v>30</v>
      </c>
      <c r="M193" s="77" t="s">
        <v>30</v>
      </c>
      <c r="N193" s="77" t="s">
        <v>30</v>
      </c>
      <c r="O193" s="77" t="s">
        <v>30</v>
      </c>
      <c r="P193" s="77" t="s">
        <v>30</v>
      </c>
      <c r="Q193" s="77" t="s">
        <v>30</v>
      </c>
      <c r="R193" s="77" t="s">
        <v>30</v>
      </c>
      <c r="S193" s="77" t="s">
        <v>30</v>
      </c>
      <c r="T193" s="77" t="s">
        <v>60</v>
      </c>
      <c r="U193" s="9" t="s">
        <v>60</v>
      </c>
      <c r="V193" s="9" t="s">
        <v>49</v>
      </c>
      <c r="W193" s="9" t="s">
        <v>132</v>
      </c>
      <c r="X193" s="9" t="s">
        <v>758</v>
      </c>
      <c r="Y193" s="85"/>
      <c r="Z193" s="85"/>
      <c r="AA193" s="85"/>
      <c r="AB193" s="85"/>
    </row>
    <row r="194" spans="1:28" hidden="1">
      <c r="A194" s="5" t="s">
        <v>759</v>
      </c>
      <c r="B194" s="130" t="s">
        <v>760</v>
      </c>
      <c r="C194" s="130" t="s">
        <v>26</v>
      </c>
      <c r="D194" s="6" t="s">
        <v>761</v>
      </c>
      <c r="E194" s="6" t="s">
        <v>762</v>
      </c>
      <c r="F194" s="7">
        <v>45874</v>
      </c>
      <c r="G194" s="74">
        <v>45901</v>
      </c>
      <c r="H194" s="74">
        <v>45901</v>
      </c>
      <c r="I194" s="74">
        <v>45901</v>
      </c>
      <c r="J194" s="83">
        <f t="shared" ref="J194:J195" ca="1" si="55">NETWORKDAYS(F194,TODAY())</f>
        <v>176</v>
      </c>
      <c r="K194" s="82" t="str">
        <f t="shared" ref="K194:K195" ca="1" si="56">IF(J194&lt;30,"Menor a 30 días",IF(J194&lt;60,"Entre 30 y 60 días","Mayor a 60 días"))</f>
        <v>Mayor a 60 días</v>
      </c>
      <c r="L194" s="77" t="s">
        <v>30</v>
      </c>
      <c r="M194" s="77" t="s">
        <v>30</v>
      </c>
      <c r="N194" s="77" t="s">
        <v>30</v>
      </c>
      <c r="O194" s="77" t="s">
        <v>30</v>
      </c>
      <c r="P194" s="77" t="s">
        <v>30</v>
      </c>
      <c r="Q194" s="77" t="s">
        <v>30</v>
      </c>
      <c r="R194" s="77" t="s">
        <v>48</v>
      </c>
      <c r="S194" s="77" t="s">
        <v>30</v>
      </c>
      <c r="T194" s="77" t="s">
        <v>34</v>
      </c>
      <c r="U194" s="9" t="s">
        <v>35</v>
      </c>
      <c r="V194" s="9" t="s">
        <v>17</v>
      </c>
      <c r="W194" s="9" t="s">
        <v>80</v>
      </c>
      <c r="X194" s="9" t="s">
        <v>763</v>
      </c>
      <c r="Y194" s="85"/>
      <c r="Z194" s="85"/>
      <c r="AA194" s="85"/>
      <c r="AB194" s="85"/>
    </row>
    <row r="195" spans="1:28" hidden="1">
      <c r="A195" s="5" t="s">
        <v>764</v>
      </c>
      <c r="B195" s="6" t="s">
        <v>765</v>
      </c>
      <c r="C195" s="6" t="s">
        <v>26</v>
      </c>
      <c r="D195" s="6" t="s">
        <v>766</v>
      </c>
      <c r="E195" s="6" t="s">
        <v>30</v>
      </c>
      <c r="F195" s="7">
        <v>45875</v>
      </c>
      <c r="G195" s="74">
        <v>45880</v>
      </c>
      <c r="H195" s="74">
        <v>45876</v>
      </c>
      <c r="I195" s="74">
        <v>45876</v>
      </c>
      <c r="J195" s="83">
        <f t="shared" ca="1" si="55"/>
        <v>175</v>
      </c>
      <c r="K195" s="82" t="str">
        <f t="shared" ca="1" si="56"/>
        <v>Mayor a 60 días</v>
      </c>
      <c r="L195" s="77" t="s">
        <v>30</v>
      </c>
      <c r="M195" s="77" t="s">
        <v>30</v>
      </c>
      <c r="N195" s="77" t="s">
        <v>30</v>
      </c>
      <c r="O195" s="77" t="s">
        <v>30</v>
      </c>
      <c r="P195" s="77" t="s">
        <v>30</v>
      </c>
      <c r="Q195" s="77" t="s">
        <v>30</v>
      </c>
      <c r="R195" s="77" t="s">
        <v>30</v>
      </c>
      <c r="S195" s="77" t="s">
        <v>30</v>
      </c>
      <c r="T195" s="77" t="s">
        <v>34</v>
      </c>
      <c r="U195" s="9" t="s">
        <v>35</v>
      </c>
      <c r="V195" s="9" t="s">
        <v>36</v>
      </c>
      <c r="W195" s="9" t="s">
        <v>1</v>
      </c>
      <c r="X195" s="9"/>
      <c r="Y195" s="85"/>
      <c r="Z195" s="85"/>
      <c r="AA195" s="85"/>
      <c r="AB195" s="85"/>
    </row>
    <row r="196" spans="1:28" hidden="1">
      <c r="A196" s="5" t="s">
        <v>767</v>
      </c>
      <c r="B196" s="6" t="s">
        <v>768</v>
      </c>
      <c r="C196" s="6" t="s">
        <v>26</v>
      </c>
      <c r="D196" s="6" t="s">
        <v>769</v>
      </c>
      <c r="E196" s="6" t="s">
        <v>30</v>
      </c>
      <c r="F196" s="7">
        <v>45875</v>
      </c>
      <c r="G196" s="74">
        <v>45880</v>
      </c>
      <c r="H196" s="74">
        <v>45877</v>
      </c>
      <c r="I196" s="74">
        <v>45880</v>
      </c>
      <c r="J196" s="83">
        <f t="shared" ref="J196" ca="1" si="57">NETWORKDAYS(F196,TODAY())</f>
        <v>175</v>
      </c>
      <c r="K196" s="82" t="str">
        <f t="shared" ref="K196" ca="1" si="58">IF(J196&lt;30,"Menor a 30 días",IF(J196&lt;60,"Entre 30 y 60 días","Mayor a 60 días"))</f>
        <v>Mayor a 60 días</v>
      </c>
      <c r="L196" s="77" t="s">
        <v>30</v>
      </c>
      <c r="M196" s="77" t="s">
        <v>30</v>
      </c>
      <c r="N196" s="77" t="s">
        <v>30</v>
      </c>
      <c r="O196" s="77" t="s">
        <v>30</v>
      </c>
      <c r="P196" s="77" t="s">
        <v>30</v>
      </c>
      <c r="Q196" s="77" t="s">
        <v>30</v>
      </c>
      <c r="R196" s="77" t="s">
        <v>30</v>
      </c>
      <c r="S196" s="77" t="s">
        <v>30</v>
      </c>
      <c r="T196" s="77" t="s">
        <v>34</v>
      </c>
      <c r="U196" s="9" t="s">
        <v>35</v>
      </c>
      <c r="V196" s="9"/>
      <c r="W196" s="9"/>
      <c r="X196" s="9"/>
      <c r="Y196" s="85"/>
      <c r="Z196" s="85"/>
      <c r="AA196" s="85"/>
      <c r="AB196" s="85"/>
    </row>
    <row r="197" spans="1:28" hidden="1">
      <c r="A197" s="5" t="s">
        <v>770</v>
      </c>
      <c r="B197" s="6" t="s">
        <v>771</v>
      </c>
      <c r="C197" s="6" t="s">
        <v>26</v>
      </c>
      <c r="D197" s="6" t="s">
        <v>772</v>
      </c>
      <c r="E197" s="6" t="s">
        <v>666</v>
      </c>
      <c r="F197" s="7">
        <v>45847</v>
      </c>
      <c r="G197" s="74"/>
      <c r="H197" s="74">
        <v>45902</v>
      </c>
      <c r="I197" s="74">
        <v>45925</v>
      </c>
      <c r="J197" s="83">
        <f t="shared" ref="J197:J198" ca="1" si="59">NETWORKDAYS(F197,TODAY())</f>
        <v>195</v>
      </c>
      <c r="K197" s="82" t="str">
        <f t="shared" ref="K197:K198" ca="1" si="60">IF(J197&lt;30,"Menor a 30 días",IF(J197&lt;60,"Entre 30 y 60 días","Mayor a 60 días"))</f>
        <v>Mayor a 60 días</v>
      </c>
      <c r="L197" s="77" t="s">
        <v>29</v>
      </c>
      <c r="M197" s="77" t="s">
        <v>30</v>
      </c>
      <c r="N197" s="77" t="s">
        <v>30</v>
      </c>
      <c r="O197" s="77" t="s">
        <v>31</v>
      </c>
      <c r="P197" s="77" t="s">
        <v>29</v>
      </c>
      <c r="Q197" s="77" t="s">
        <v>32</v>
      </c>
      <c r="R197" s="77" t="s">
        <v>30</v>
      </c>
      <c r="S197" s="77" t="s">
        <v>33</v>
      </c>
      <c r="T197" s="77" t="s">
        <v>34</v>
      </c>
      <c r="U197" s="9" t="s">
        <v>35</v>
      </c>
      <c r="V197" s="9"/>
      <c r="W197" s="9"/>
      <c r="X197" s="9"/>
      <c r="Y197" s="85"/>
      <c r="Z197" s="85"/>
      <c r="AA197" s="85"/>
      <c r="AB197" s="85"/>
    </row>
    <row r="198" spans="1:28" hidden="1">
      <c r="A198" s="5" t="s">
        <v>773</v>
      </c>
      <c r="B198" s="6" t="s">
        <v>774</v>
      </c>
      <c r="C198" s="6" t="s">
        <v>26</v>
      </c>
      <c r="D198" s="6" t="s">
        <v>775</v>
      </c>
      <c r="E198" s="6" t="s">
        <v>776</v>
      </c>
      <c r="F198" s="7">
        <v>45882</v>
      </c>
      <c r="G198" s="74">
        <v>45911</v>
      </c>
      <c r="H198" s="74">
        <v>45925</v>
      </c>
      <c r="I198" s="74">
        <v>45925</v>
      </c>
      <c r="J198" s="83">
        <f t="shared" ref="J198" ca="1" si="61">NETWORKDAYS(F198,TODAY())</f>
        <v>170</v>
      </c>
      <c r="K198" s="82" t="str">
        <f t="shared" ref="K198" ca="1" si="62">IF(J198&lt;30,"Menor a 30 días",IF(J198&lt;60,"Entre 30 y 60 días","Mayor a 60 días"))</f>
        <v>Mayor a 60 días</v>
      </c>
      <c r="L198" s="77" t="s">
        <v>29</v>
      </c>
      <c r="M198" s="77" t="s">
        <v>30</v>
      </c>
      <c r="N198" s="77" t="s">
        <v>30</v>
      </c>
      <c r="O198" s="77" t="s">
        <v>31</v>
      </c>
      <c r="P198" s="77" t="s">
        <v>29</v>
      </c>
      <c r="Q198" s="77" t="s">
        <v>32</v>
      </c>
      <c r="R198" s="77" t="s">
        <v>30</v>
      </c>
      <c r="S198" s="77" t="s">
        <v>33</v>
      </c>
      <c r="T198" s="77" t="s">
        <v>34</v>
      </c>
      <c r="U198" s="9" t="s">
        <v>35</v>
      </c>
      <c r="V198" s="9"/>
      <c r="W198" s="9"/>
      <c r="X198" s="9"/>
      <c r="Y198" s="85"/>
      <c r="Z198" s="85"/>
      <c r="AA198" s="85"/>
      <c r="AB198" s="85"/>
    </row>
    <row r="199" spans="1:28" hidden="1">
      <c r="A199" s="5" t="s">
        <v>777</v>
      </c>
      <c r="B199" s="6" t="s">
        <v>778</v>
      </c>
      <c r="C199" s="6" t="s">
        <v>26</v>
      </c>
      <c r="D199" s="6" t="s">
        <v>779</v>
      </c>
      <c r="E199" s="6" t="s">
        <v>30</v>
      </c>
      <c r="F199" s="7">
        <v>45882</v>
      </c>
      <c r="G199" s="74">
        <v>45897</v>
      </c>
      <c r="H199" s="74">
        <v>45883</v>
      </c>
      <c r="I199" s="74">
        <v>45884</v>
      </c>
      <c r="J199" s="83">
        <f t="shared" ref="J199" ca="1" si="63">NETWORKDAYS(F199,TODAY())</f>
        <v>170</v>
      </c>
      <c r="K199" s="82" t="str">
        <f t="shared" ref="K199" ca="1" si="64">IF(J199&lt;30,"Menor a 30 días",IF(J199&lt;60,"Entre 30 y 60 días","Mayor a 60 días"))</f>
        <v>Mayor a 60 días</v>
      </c>
      <c r="L199" s="77" t="s">
        <v>30</v>
      </c>
      <c r="M199" s="77" t="s">
        <v>30</v>
      </c>
      <c r="N199" s="77" t="s">
        <v>30</v>
      </c>
      <c r="O199" s="77" t="s">
        <v>30</v>
      </c>
      <c r="P199" s="77" t="s">
        <v>30</v>
      </c>
      <c r="Q199" s="77" t="s">
        <v>30</v>
      </c>
      <c r="R199" s="77" t="s">
        <v>30</v>
      </c>
      <c r="S199" s="77" t="s">
        <v>30</v>
      </c>
      <c r="T199" s="77" t="s">
        <v>34</v>
      </c>
      <c r="U199" s="9" t="s">
        <v>35</v>
      </c>
      <c r="V199" s="9"/>
      <c r="W199" s="9"/>
      <c r="X199" s="9"/>
      <c r="Y199" s="85"/>
      <c r="Z199" s="85"/>
      <c r="AA199" s="85"/>
      <c r="AB199" s="85"/>
    </row>
    <row r="200" spans="1:28" hidden="1">
      <c r="A200" s="5" t="s">
        <v>780</v>
      </c>
      <c r="B200" s="6" t="s">
        <v>781</v>
      </c>
      <c r="C200" s="6" t="s">
        <v>26</v>
      </c>
      <c r="D200" s="6" t="s">
        <v>782</v>
      </c>
      <c r="E200" s="6" t="s">
        <v>30</v>
      </c>
      <c r="F200" s="7">
        <v>45882</v>
      </c>
      <c r="G200" s="74">
        <v>45903</v>
      </c>
      <c r="H200" s="74">
        <v>45898</v>
      </c>
      <c r="I200" s="74">
        <v>45898</v>
      </c>
      <c r="J200" s="83">
        <f t="shared" ref="J200" ca="1" si="65">NETWORKDAYS(F200,TODAY())</f>
        <v>170</v>
      </c>
      <c r="K200" s="82" t="str">
        <f t="shared" ref="K200" ca="1" si="66">IF(J200&lt;30,"Menor a 30 días",IF(J200&lt;60,"Entre 30 y 60 días","Mayor a 60 días"))</f>
        <v>Mayor a 60 días</v>
      </c>
      <c r="L200" s="77" t="s">
        <v>30</v>
      </c>
      <c r="M200" s="77" t="s">
        <v>30</v>
      </c>
      <c r="N200" s="77" t="s">
        <v>30</v>
      </c>
      <c r="O200" s="77" t="s">
        <v>30</v>
      </c>
      <c r="P200" s="77" t="s">
        <v>30</v>
      </c>
      <c r="Q200" s="77" t="s">
        <v>30</v>
      </c>
      <c r="R200" s="77" t="s">
        <v>30</v>
      </c>
      <c r="S200" s="77" t="s">
        <v>30</v>
      </c>
      <c r="T200" s="77" t="s">
        <v>34</v>
      </c>
      <c r="U200" s="9" t="s">
        <v>35</v>
      </c>
      <c r="V200" s="9"/>
      <c r="W200" s="9"/>
      <c r="X200" s="9"/>
      <c r="Y200" s="85"/>
      <c r="Z200" s="85"/>
      <c r="AA200" s="85"/>
      <c r="AB200" s="85"/>
    </row>
    <row r="201" spans="1:28" hidden="1">
      <c r="A201" s="5" t="s">
        <v>783</v>
      </c>
      <c r="B201" s="6" t="s">
        <v>784</v>
      </c>
      <c r="C201" s="6" t="s">
        <v>26</v>
      </c>
      <c r="D201" s="6" t="s">
        <v>785</v>
      </c>
      <c r="E201" s="6" t="s">
        <v>786</v>
      </c>
      <c r="F201" s="7">
        <v>45882</v>
      </c>
      <c r="G201" s="74">
        <v>45910</v>
      </c>
      <c r="H201" s="74">
        <v>45939</v>
      </c>
      <c r="I201" s="74">
        <v>45958</v>
      </c>
      <c r="J201" s="83">
        <f t="shared" ref="J201" ca="1" si="67">NETWORKDAYS(F201,TODAY())</f>
        <v>170</v>
      </c>
      <c r="K201" s="82" t="str">
        <f t="shared" ref="K201" ca="1" si="68">IF(J201&lt;30,"Menor a 30 días",IF(J201&lt;60,"Entre 30 y 60 días","Mayor a 60 días"))</f>
        <v>Mayor a 60 días</v>
      </c>
      <c r="L201" s="77" t="s">
        <v>176</v>
      </c>
      <c r="M201" s="77" t="s">
        <v>30</v>
      </c>
      <c r="N201" s="77" t="s">
        <v>30</v>
      </c>
      <c r="O201" s="77" t="s">
        <v>31</v>
      </c>
      <c r="P201" s="77" t="s">
        <v>29</v>
      </c>
      <c r="Q201" s="77" t="s">
        <v>32</v>
      </c>
      <c r="R201" s="77" t="s">
        <v>30</v>
      </c>
      <c r="S201" s="77" t="s">
        <v>33</v>
      </c>
      <c r="T201" s="77" t="s">
        <v>34</v>
      </c>
      <c r="U201" s="9" t="s">
        <v>35</v>
      </c>
      <c r="V201" s="9"/>
      <c r="W201" s="9"/>
      <c r="X201" s="9"/>
      <c r="Y201" s="85"/>
      <c r="Z201" s="85"/>
      <c r="AA201" s="85"/>
      <c r="AB201" s="85"/>
    </row>
    <row r="202" spans="1:28" hidden="1">
      <c r="A202" s="5" t="s">
        <v>787</v>
      </c>
      <c r="B202" s="6" t="s">
        <v>788</v>
      </c>
      <c r="C202" s="6" t="s">
        <v>26</v>
      </c>
      <c r="D202" s="6" t="s">
        <v>789</v>
      </c>
      <c r="E202" s="6" t="s">
        <v>790</v>
      </c>
      <c r="F202" s="7">
        <v>45888</v>
      </c>
      <c r="G202" s="74">
        <v>45894</v>
      </c>
      <c r="H202" s="74">
        <v>45890</v>
      </c>
      <c r="I202" s="74">
        <v>45894</v>
      </c>
      <c r="J202" s="83">
        <f t="shared" ref="J202" ca="1" si="69">NETWORKDAYS(F202,TODAY())</f>
        <v>166</v>
      </c>
      <c r="K202" s="82" t="str">
        <f t="shared" ref="K202" ca="1" si="70">IF(J202&lt;30,"Menor a 30 días",IF(J202&lt;60,"Entre 30 y 60 días","Mayor a 60 días"))</f>
        <v>Mayor a 60 días</v>
      </c>
      <c r="L202" s="77" t="s">
        <v>30</v>
      </c>
      <c r="M202" s="77" t="s">
        <v>30</v>
      </c>
      <c r="N202" s="77" t="s">
        <v>30</v>
      </c>
      <c r="O202" s="77" t="s">
        <v>30</v>
      </c>
      <c r="P202" s="77" t="s">
        <v>30</v>
      </c>
      <c r="Q202" s="77" t="s">
        <v>30</v>
      </c>
      <c r="R202" s="77" t="s">
        <v>30</v>
      </c>
      <c r="S202" s="77" t="s">
        <v>30</v>
      </c>
      <c r="T202" s="77" t="s">
        <v>34</v>
      </c>
      <c r="U202" s="9" t="s">
        <v>35</v>
      </c>
      <c r="V202" s="9"/>
      <c r="W202" s="9"/>
      <c r="X202" s="9"/>
      <c r="Y202" s="85"/>
      <c r="Z202" s="85"/>
      <c r="AA202" s="85"/>
      <c r="AB202" s="85"/>
    </row>
    <row r="203" spans="1:28" hidden="1">
      <c r="A203" s="5" t="s">
        <v>791</v>
      </c>
      <c r="B203" s="130" t="s">
        <v>792</v>
      </c>
      <c r="C203" s="130" t="s">
        <v>26</v>
      </c>
      <c r="D203" s="129" t="s">
        <v>793</v>
      </c>
      <c r="E203" s="6" t="s">
        <v>794</v>
      </c>
      <c r="F203" s="7">
        <v>45889</v>
      </c>
      <c r="G203" s="74">
        <v>45894</v>
      </c>
      <c r="H203" s="74">
        <v>45901</v>
      </c>
      <c r="I203" s="74">
        <v>45901</v>
      </c>
      <c r="J203" s="83">
        <f t="shared" ref="J203" ca="1" si="71">NETWORKDAYS(F203,TODAY())</f>
        <v>165</v>
      </c>
      <c r="K203" s="82" t="str">
        <f t="shared" ref="K203" ca="1" si="72">IF(J203&lt;30,"Menor a 30 días",IF(J203&lt;60,"Entre 30 y 60 días","Mayor a 60 días"))</f>
        <v>Mayor a 60 días</v>
      </c>
      <c r="L203" s="77" t="s">
        <v>30</v>
      </c>
      <c r="M203" s="77" t="s">
        <v>30</v>
      </c>
      <c r="N203" s="77" t="s">
        <v>30</v>
      </c>
      <c r="O203" s="77" t="s">
        <v>30</v>
      </c>
      <c r="P203" s="77" t="s">
        <v>30</v>
      </c>
      <c r="Q203" s="77" t="s">
        <v>30</v>
      </c>
      <c r="R203" s="77" t="s">
        <v>30</v>
      </c>
      <c r="S203" s="77" t="s">
        <v>30</v>
      </c>
      <c r="T203" s="77" t="s">
        <v>34</v>
      </c>
      <c r="U203" s="9" t="s">
        <v>35</v>
      </c>
      <c r="V203" s="9"/>
      <c r="W203" s="9"/>
      <c r="X203" s="9"/>
      <c r="Y203" s="85"/>
      <c r="Z203" s="85"/>
      <c r="AA203" s="85"/>
      <c r="AB203" s="85"/>
    </row>
    <row r="204" spans="1:28" hidden="1">
      <c r="A204" s="5" t="s">
        <v>795</v>
      </c>
      <c r="B204" s="130" t="s">
        <v>796</v>
      </c>
      <c r="C204" s="130" t="s">
        <v>26</v>
      </c>
      <c r="D204" s="6" t="s">
        <v>96</v>
      </c>
      <c r="E204" s="6" t="s">
        <v>797</v>
      </c>
      <c r="F204" s="7">
        <v>45894</v>
      </c>
      <c r="G204" s="74">
        <v>45924</v>
      </c>
      <c r="H204" s="74">
        <v>45904</v>
      </c>
      <c r="I204" s="74">
        <v>45908</v>
      </c>
      <c r="J204" s="83">
        <f t="shared" ref="J204" ca="1" si="73">NETWORKDAYS(F204,TODAY())</f>
        <v>162</v>
      </c>
      <c r="K204" s="82" t="str">
        <f t="shared" ref="K204" ca="1" si="74">IF(J204&lt;30,"Menor a 30 días",IF(J204&lt;60,"Entre 30 y 60 días","Mayor a 60 días"))</f>
        <v>Mayor a 60 días</v>
      </c>
      <c r="L204" s="77" t="s">
        <v>30</v>
      </c>
      <c r="M204" s="77" t="s">
        <v>30</v>
      </c>
      <c r="N204" s="77" t="s">
        <v>30</v>
      </c>
      <c r="O204" s="77" t="s">
        <v>30</v>
      </c>
      <c r="P204" s="77" t="s">
        <v>30</v>
      </c>
      <c r="Q204" s="77" t="s">
        <v>30</v>
      </c>
      <c r="R204" s="77" t="s">
        <v>48</v>
      </c>
      <c r="S204" s="77" t="s">
        <v>30</v>
      </c>
      <c r="T204" s="77" t="s">
        <v>34</v>
      </c>
      <c r="U204" s="9" t="s">
        <v>35</v>
      </c>
      <c r="V204" s="9"/>
      <c r="W204" s="9"/>
      <c r="X204" s="9"/>
      <c r="Y204" s="85"/>
      <c r="Z204" s="85"/>
      <c r="AA204" s="85"/>
      <c r="AB204" s="85"/>
    </row>
    <row r="205" spans="1:28" hidden="1">
      <c r="A205" s="5" t="s">
        <v>798</v>
      </c>
      <c r="B205" s="130" t="s">
        <v>799</v>
      </c>
      <c r="C205" s="130" t="s">
        <v>26</v>
      </c>
      <c r="D205" s="129" t="s">
        <v>800</v>
      </c>
      <c r="E205" s="6" t="s">
        <v>801</v>
      </c>
      <c r="F205" s="7">
        <v>45894</v>
      </c>
      <c r="G205" s="74">
        <v>45897</v>
      </c>
      <c r="H205" s="74">
        <v>45905</v>
      </c>
      <c r="I205" s="74">
        <v>45908</v>
      </c>
      <c r="J205" s="83">
        <f t="shared" ref="J205" ca="1" si="75">NETWORKDAYS(F205,TODAY())</f>
        <v>162</v>
      </c>
      <c r="K205" s="82" t="str">
        <f t="shared" ref="K205" ca="1" si="76">IF(J205&lt;30,"Menor a 30 días",IF(J205&lt;60,"Entre 30 y 60 días","Mayor a 60 días"))</f>
        <v>Mayor a 60 días</v>
      </c>
      <c r="L205" s="77" t="s">
        <v>30</v>
      </c>
      <c r="M205" s="77" t="s">
        <v>30</v>
      </c>
      <c r="N205" s="77" t="s">
        <v>30</v>
      </c>
      <c r="O205" s="77" t="s">
        <v>30</v>
      </c>
      <c r="P205" s="77" t="s">
        <v>30</v>
      </c>
      <c r="Q205" s="77" t="s">
        <v>30</v>
      </c>
      <c r="R205" s="77" t="s">
        <v>30</v>
      </c>
      <c r="S205" s="77" t="s">
        <v>30</v>
      </c>
      <c r="T205" s="77" t="s">
        <v>34</v>
      </c>
      <c r="U205" s="9" t="s">
        <v>35</v>
      </c>
      <c r="V205" s="9"/>
      <c r="W205" s="9"/>
      <c r="X205" s="9"/>
      <c r="Y205" s="85"/>
      <c r="Z205" s="85"/>
      <c r="AA205" s="85"/>
      <c r="AB205" s="85"/>
    </row>
    <row r="206" spans="1:28" hidden="1">
      <c r="A206" s="5" t="s">
        <v>802</v>
      </c>
      <c r="B206" s="6" t="s">
        <v>803</v>
      </c>
      <c r="C206" s="6" t="s">
        <v>26</v>
      </c>
      <c r="D206" s="6" t="s">
        <v>214</v>
      </c>
      <c r="E206" s="6" t="s">
        <v>804</v>
      </c>
      <c r="F206" s="7">
        <v>45895</v>
      </c>
      <c r="G206" s="74">
        <v>45924</v>
      </c>
      <c r="H206" s="74">
        <v>45908</v>
      </c>
      <c r="I206" s="74">
        <v>45908</v>
      </c>
      <c r="J206" s="83">
        <f t="shared" ref="J206" ca="1" si="77">NETWORKDAYS(F206,TODAY())</f>
        <v>161</v>
      </c>
      <c r="K206" s="82" t="str">
        <f t="shared" ref="K206" ca="1" si="78">IF(J206&lt;30,"Menor a 30 días",IF(J206&lt;60,"Entre 30 y 60 días","Mayor a 60 días"))</f>
        <v>Mayor a 60 días</v>
      </c>
      <c r="L206" s="77" t="s">
        <v>30</v>
      </c>
      <c r="M206" s="77" t="s">
        <v>30</v>
      </c>
      <c r="N206" s="77" t="s">
        <v>30</v>
      </c>
      <c r="O206" s="77" t="s">
        <v>30</v>
      </c>
      <c r="P206" s="77" t="s">
        <v>30</v>
      </c>
      <c r="Q206" s="77" t="s">
        <v>30</v>
      </c>
      <c r="R206" s="77" t="s">
        <v>30</v>
      </c>
      <c r="S206" s="77" t="s">
        <v>30</v>
      </c>
      <c r="T206" s="77" t="s">
        <v>34</v>
      </c>
      <c r="U206" s="9" t="s">
        <v>35</v>
      </c>
      <c r="V206" s="9"/>
      <c r="W206" s="9"/>
      <c r="X206" s="9"/>
      <c r="Y206" s="85"/>
      <c r="Z206" s="85"/>
      <c r="AA206" s="85"/>
      <c r="AB206" s="85"/>
    </row>
    <row r="207" spans="1:28" hidden="1">
      <c r="A207" s="5" t="s">
        <v>805</v>
      </c>
      <c r="B207" s="6" t="s">
        <v>806</v>
      </c>
      <c r="C207" s="6" t="s">
        <v>26</v>
      </c>
      <c r="D207" s="6" t="s">
        <v>221</v>
      </c>
      <c r="E207" s="6" t="s">
        <v>807</v>
      </c>
      <c r="F207" s="7">
        <v>45898</v>
      </c>
      <c r="G207" s="74">
        <v>45929</v>
      </c>
      <c r="H207" s="74">
        <v>45929</v>
      </c>
      <c r="I207" s="74">
        <v>45930</v>
      </c>
      <c r="J207" s="83">
        <f t="shared" ref="J207:J208" ca="1" si="79">NETWORKDAYS(F207,TODAY())</f>
        <v>158</v>
      </c>
      <c r="K207" s="82" t="str">
        <f t="shared" ref="K207:K208" ca="1" si="80">IF(J207&lt;30,"Menor a 30 días",IF(J207&lt;60,"Entre 30 y 60 días","Mayor a 60 días"))</f>
        <v>Mayor a 60 días</v>
      </c>
      <c r="L207" s="77" t="s">
        <v>30</v>
      </c>
      <c r="M207" s="77" t="s">
        <v>30</v>
      </c>
      <c r="N207" s="77" t="s">
        <v>30</v>
      </c>
      <c r="O207" s="77" t="s">
        <v>30</v>
      </c>
      <c r="P207" s="77" t="s">
        <v>30</v>
      </c>
      <c r="Q207" s="77" t="s">
        <v>30</v>
      </c>
      <c r="R207" s="77" t="s">
        <v>48</v>
      </c>
      <c r="S207" s="77" t="s">
        <v>30</v>
      </c>
      <c r="T207" s="77" t="s">
        <v>34</v>
      </c>
      <c r="U207" s="9" t="s">
        <v>35</v>
      </c>
      <c r="V207" s="9"/>
      <c r="W207" s="9"/>
      <c r="X207" s="9"/>
      <c r="Y207" s="85"/>
      <c r="Z207" s="85"/>
      <c r="AA207" s="85"/>
      <c r="AB207" s="85"/>
    </row>
    <row r="208" spans="1:28" hidden="1">
      <c r="A208" s="5" t="s">
        <v>808</v>
      </c>
      <c r="B208" s="6" t="s">
        <v>809</v>
      </c>
      <c r="C208" s="6" t="s">
        <v>26</v>
      </c>
      <c r="D208" s="6" t="s">
        <v>39</v>
      </c>
      <c r="E208" s="6" t="s">
        <v>807</v>
      </c>
      <c r="F208" s="7">
        <v>45898</v>
      </c>
      <c r="G208" s="74">
        <v>45929</v>
      </c>
      <c r="H208" s="74">
        <v>45929</v>
      </c>
      <c r="I208" s="74">
        <v>45930</v>
      </c>
      <c r="J208" s="83">
        <f t="shared" ca="1" si="79"/>
        <v>158</v>
      </c>
      <c r="K208" s="82" t="str">
        <f t="shared" ca="1" si="80"/>
        <v>Mayor a 60 días</v>
      </c>
      <c r="L208" s="77" t="s">
        <v>30</v>
      </c>
      <c r="M208" s="77" t="s">
        <v>30</v>
      </c>
      <c r="N208" s="77" t="s">
        <v>30</v>
      </c>
      <c r="O208" s="77" t="s">
        <v>30</v>
      </c>
      <c r="P208" s="77" t="s">
        <v>30</v>
      </c>
      <c r="Q208" s="77" t="s">
        <v>30</v>
      </c>
      <c r="R208" s="77" t="s">
        <v>30</v>
      </c>
      <c r="S208" s="77" t="s">
        <v>30</v>
      </c>
      <c r="T208" s="77" t="s">
        <v>34</v>
      </c>
      <c r="U208" s="9" t="s">
        <v>35</v>
      </c>
      <c r="V208" s="9"/>
      <c r="W208" s="9"/>
      <c r="X208" s="9"/>
      <c r="Y208" s="85"/>
      <c r="Z208" s="85"/>
      <c r="AA208" s="85"/>
      <c r="AB208" s="85"/>
    </row>
    <row r="209" spans="1:28" hidden="1">
      <c r="A209" s="5" t="s">
        <v>810</v>
      </c>
      <c r="B209" s="6" t="s">
        <v>811</v>
      </c>
      <c r="C209" s="6" t="s">
        <v>26</v>
      </c>
      <c r="D209" s="6" t="s">
        <v>812</v>
      </c>
      <c r="E209" s="6" t="s">
        <v>813</v>
      </c>
      <c r="F209" s="7">
        <v>45901</v>
      </c>
      <c r="G209" s="74">
        <v>45965</v>
      </c>
      <c r="H209" s="74">
        <v>45959</v>
      </c>
      <c r="I209" s="74">
        <v>45959</v>
      </c>
      <c r="J209" s="83">
        <f t="shared" ref="J209" ca="1" si="81">NETWORKDAYS(F209,TODAY())</f>
        <v>157</v>
      </c>
      <c r="K209" s="82" t="str">
        <f t="shared" ref="K209" ca="1" si="82">IF(J209&lt;30,"Menor a 30 días",IF(J209&lt;60,"Entre 30 y 60 días","Mayor a 60 días"))</f>
        <v>Mayor a 60 días</v>
      </c>
      <c r="L209" s="77" t="s">
        <v>30</v>
      </c>
      <c r="M209" s="77" t="s">
        <v>30</v>
      </c>
      <c r="N209" s="77" t="s">
        <v>30</v>
      </c>
      <c r="O209" s="77" t="s">
        <v>30</v>
      </c>
      <c r="P209" s="77" t="s">
        <v>30</v>
      </c>
      <c r="Q209" s="77" t="s">
        <v>30</v>
      </c>
      <c r="R209" s="77" t="s">
        <v>30</v>
      </c>
      <c r="S209" s="77" t="s">
        <v>30</v>
      </c>
      <c r="T209" s="77" t="s">
        <v>34</v>
      </c>
      <c r="U209" s="9" t="s">
        <v>35</v>
      </c>
      <c r="V209" s="9"/>
      <c r="W209" s="9"/>
      <c r="X209" s="9"/>
      <c r="Y209" s="85"/>
      <c r="Z209" s="85"/>
      <c r="AA209" s="85"/>
      <c r="AB209" s="85"/>
    </row>
    <row r="210" spans="1:28" hidden="1">
      <c r="A210" s="5" t="s">
        <v>814</v>
      </c>
      <c r="B210" s="130" t="s">
        <v>815</v>
      </c>
      <c r="C210" s="130" t="s">
        <v>26</v>
      </c>
      <c r="D210" s="6" t="s">
        <v>793</v>
      </c>
      <c r="E210" s="6" t="s">
        <v>816</v>
      </c>
      <c r="F210" s="7">
        <v>45901</v>
      </c>
      <c r="G210" s="74">
        <v>45904</v>
      </c>
      <c r="H210" s="74">
        <v>45905</v>
      </c>
      <c r="I210" s="74">
        <v>45908</v>
      </c>
      <c r="J210" s="83">
        <f t="shared" ref="J210" ca="1" si="83">NETWORKDAYS(F210,TODAY())</f>
        <v>157</v>
      </c>
      <c r="K210" s="82" t="str">
        <f t="shared" ref="K210" ca="1" si="84">IF(J210&lt;30,"Menor a 30 días",IF(J210&lt;60,"Entre 30 y 60 días","Mayor a 60 días"))</f>
        <v>Mayor a 60 días</v>
      </c>
      <c r="L210" s="77" t="s">
        <v>30</v>
      </c>
      <c r="M210" s="77" t="s">
        <v>30</v>
      </c>
      <c r="N210" s="77" t="s">
        <v>30</v>
      </c>
      <c r="O210" s="77" t="s">
        <v>30</v>
      </c>
      <c r="P210" s="77" t="s">
        <v>30</v>
      </c>
      <c r="Q210" s="77" t="s">
        <v>30</v>
      </c>
      <c r="R210" s="77" t="s">
        <v>30</v>
      </c>
      <c r="S210" s="77" t="s">
        <v>30</v>
      </c>
      <c r="T210" s="77" t="s">
        <v>34</v>
      </c>
      <c r="U210" s="9" t="s">
        <v>35</v>
      </c>
      <c r="V210" s="9"/>
      <c r="W210" s="9"/>
      <c r="X210" s="9"/>
      <c r="Y210" s="85"/>
      <c r="Z210" s="85"/>
      <c r="AA210" s="85"/>
      <c r="AB210" s="85"/>
    </row>
    <row r="211" spans="1:28" hidden="1">
      <c r="A211" s="5" t="s">
        <v>817</v>
      </c>
      <c r="B211" s="6" t="s">
        <v>818</v>
      </c>
      <c r="C211" s="6" t="s">
        <v>26</v>
      </c>
      <c r="D211" s="6" t="s">
        <v>728</v>
      </c>
      <c r="E211" s="6" t="s">
        <v>819</v>
      </c>
      <c r="F211" s="7">
        <v>45901</v>
      </c>
      <c r="G211" s="74">
        <v>45931</v>
      </c>
      <c r="H211" s="74">
        <v>45909</v>
      </c>
      <c r="I211" s="74">
        <v>45909</v>
      </c>
      <c r="J211" s="83">
        <f t="shared" ref="J211:J212" ca="1" si="85">NETWORKDAYS(F211,TODAY())</f>
        <v>157</v>
      </c>
      <c r="K211" s="82" t="str">
        <f t="shared" ref="K211:K212" ca="1" si="86">IF(J211&lt;30,"Menor a 30 días",IF(J211&lt;60,"Entre 30 y 60 días","Mayor a 60 días"))</f>
        <v>Mayor a 60 días</v>
      </c>
      <c r="L211" s="77" t="s">
        <v>30</v>
      </c>
      <c r="M211" s="77" t="s">
        <v>30</v>
      </c>
      <c r="N211" s="77" t="s">
        <v>30</v>
      </c>
      <c r="O211" s="77" t="s">
        <v>30</v>
      </c>
      <c r="P211" s="77" t="s">
        <v>30</v>
      </c>
      <c r="Q211" s="77" t="s">
        <v>30</v>
      </c>
      <c r="R211" s="77" t="s">
        <v>30</v>
      </c>
      <c r="S211" s="77" t="s">
        <v>30</v>
      </c>
      <c r="T211" s="77" t="s">
        <v>34</v>
      </c>
      <c r="U211" s="9" t="s">
        <v>35</v>
      </c>
      <c r="V211" s="9"/>
      <c r="W211" s="9"/>
      <c r="X211" s="9"/>
      <c r="Y211" s="85"/>
      <c r="Z211" s="85"/>
      <c r="AA211" s="85"/>
      <c r="AB211" s="85"/>
    </row>
    <row r="212" spans="1:28" hidden="1">
      <c r="A212" s="5" t="s">
        <v>820</v>
      </c>
      <c r="B212" s="6" t="s">
        <v>821</v>
      </c>
      <c r="C212" s="6" t="s">
        <v>26</v>
      </c>
      <c r="D212" s="6" t="s">
        <v>822</v>
      </c>
      <c r="E212" s="6" t="s">
        <v>823</v>
      </c>
      <c r="F212" s="7">
        <v>45901</v>
      </c>
      <c r="G212" s="74">
        <v>45931</v>
      </c>
      <c r="H212" s="74">
        <v>45982</v>
      </c>
      <c r="I212" s="74">
        <v>45985</v>
      </c>
      <c r="J212" s="83">
        <f t="shared" ca="1" si="85"/>
        <v>157</v>
      </c>
      <c r="K212" s="82" t="str">
        <f t="shared" ca="1" si="86"/>
        <v>Mayor a 60 días</v>
      </c>
      <c r="L212" s="77" t="s">
        <v>30</v>
      </c>
      <c r="M212" s="77" t="s">
        <v>30</v>
      </c>
      <c r="N212" s="77" t="s">
        <v>30</v>
      </c>
      <c r="O212" s="77" t="s">
        <v>30</v>
      </c>
      <c r="P212" s="77" t="s">
        <v>30</v>
      </c>
      <c r="Q212" s="77" t="s">
        <v>30</v>
      </c>
      <c r="R212" s="77" t="s">
        <v>48</v>
      </c>
      <c r="S212" s="77" t="s">
        <v>30</v>
      </c>
      <c r="T212" s="77" t="s">
        <v>34</v>
      </c>
      <c r="U212" s="9" t="s">
        <v>35</v>
      </c>
      <c r="V212" s="9"/>
      <c r="W212" s="9"/>
      <c r="X212" s="9"/>
      <c r="Y212" s="85"/>
      <c r="Z212" s="85"/>
      <c r="AA212" s="85"/>
      <c r="AB212" s="85"/>
    </row>
    <row r="213" spans="1:28" hidden="1">
      <c r="A213" s="5" t="s">
        <v>824</v>
      </c>
      <c r="B213" s="6" t="s">
        <v>825</v>
      </c>
      <c r="C213" s="6" t="s">
        <v>26</v>
      </c>
      <c r="D213" s="6" t="s">
        <v>39</v>
      </c>
      <c r="E213" s="6" t="s">
        <v>823</v>
      </c>
      <c r="F213" s="7">
        <v>45901</v>
      </c>
      <c r="G213" s="74">
        <v>45931</v>
      </c>
      <c r="H213" s="74">
        <v>45982</v>
      </c>
      <c r="I213" s="74">
        <v>45985</v>
      </c>
      <c r="J213" s="83">
        <f t="shared" ref="J213" ca="1" si="87">NETWORKDAYS(F213,TODAY())</f>
        <v>157</v>
      </c>
      <c r="K213" s="82" t="str">
        <f t="shared" ref="K213" ca="1" si="88">IF(J213&lt;30,"Menor a 30 días",IF(J213&lt;60,"Entre 30 y 60 días","Mayor a 60 días"))</f>
        <v>Mayor a 60 días</v>
      </c>
      <c r="L213" s="77" t="s">
        <v>30</v>
      </c>
      <c r="M213" s="77" t="s">
        <v>30</v>
      </c>
      <c r="N213" s="77" t="s">
        <v>30</v>
      </c>
      <c r="O213" s="77" t="s">
        <v>30</v>
      </c>
      <c r="P213" s="77" t="s">
        <v>30</v>
      </c>
      <c r="Q213" s="77" t="s">
        <v>30</v>
      </c>
      <c r="R213" s="77" t="s">
        <v>30</v>
      </c>
      <c r="S213" s="77" t="s">
        <v>30</v>
      </c>
      <c r="T213" s="77" t="s">
        <v>34</v>
      </c>
      <c r="U213" s="9" t="s">
        <v>35</v>
      </c>
      <c r="V213" s="9"/>
      <c r="W213" s="9"/>
      <c r="X213" s="9"/>
      <c r="Y213" s="85"/>
      <c r="Z213" s="85"/>
      <c r="AA213" s="85"/>
      <c r="AB213" s="85"/>
    </row>
    <row r="214" spans="1:28" hidden="1">
      <c r="A214" s="5" t="s">
        <v>826</v>
      </c>
      <c r="B214" s="6" t="s">
        <v>827</v>
      </c>
      <c r="C214" s="6" t="s">
        <v>26</v>
      </c>
      <c r="D214" s="6" t="s">
        <v>828</v>
      </c>
      <c r="E214" s="6" t="s">
        <v>829</v>
      </c>
      <c r="F214" s="7">
        <v>45902</v>
      </c>
      <c r="G214" s="74">
        <v>45908</v>
      </c>
      <c r="H214" s="74">
        <v>45902</v>
      </c>
      <c r="I214" s="74">
        <v>45902</v>
      </c>
      <c r="J214" s="83">
        <f t="shared" ref="J214:J215" ca="1" si="89">NETWORKDAYS(F214,TODAY())</f>
        <v>156</v>
      </c>
      <c r="K214" s="82" t="str">
        <f t="shared" ref="K214:K215" ca="1" si="90">IF(J214&lt;30,"Menor a 30 días",IF(J214&lt;60,"Entre 30 y 60 días","Mayor a 60 días"))</f>
        <v>Mayor a 60 días</v>
      </c>
      <c r="L214" s="77" t="s">
        <v>30</v>
      </c>
      <c r="M214" s="77" t="s">
        <v>30</v>
      </c>
      <c r="N214" s="77" t="s">
        <v>30</v>
      </c>
      <c r="O214" s="77" t="s">
        <v>30</v>
      </c>
      <c r="P214" s="77" t="s">
        <v>30</v>
      </c>
      <c r="Q214" s="77" t="s">
        <v>30</v>
      </c>
      <c r="R214" s="77" t="s">
        <v>30</v>
      </c>
      <c r="S214" s="77" t="s">
        <v>30</v>
      </c>
      <c r="T214" s="77" t="s">
        <v>34</v>
      </c>
      <c r="U214" s="9" t="s">
        <v>35</v>
      </c>
      <c r="V214" s="9"/>
      <c r="W214" s="9"/>
      <c r="X214" s="9"/>
      <c r="Y214" s="85"/>
      <c r="Z214" s="85"/>
      <c r="AA214" s="85"/>
      <c r="AB214" s="85"/>
    </row>
    <row r="215" spans="1:28" hidden="1">
      <c r="A215" s="5" t="s">
        <v>830</v>
      </c>
      <c r="B215" s="6" t="s">
        <v>831</v>
      </c>
      <c r="C215" s="6" t="s">
        <v>26</v>
      </c>
      <c r="D215" s="6" t="s">
        <v>753</v>
      </c>
      <c r="E215" s="6" t="s">
        <v>832</v>
      </c>
      <c r="F215" s="7">
        <v>45902</v>
      </c>
      <c r="G215" s="74">
        <v>45932</v>
      </c>
      <c r="H215" s="74">
        <v>45960</v>
      </c>
      <c r="I215" s="74">
        <v>45961</v>
      </c>
      <c r="J215" s="83">
        <f t="shared" ca="1" si="89"/>
        <v>156</v>
      </c>
      <c r="K215" s="82" t="str">
        <f t="shared" ca="1" si="90"/>
        <v>Mayor a 60 días</v>
      </c>
      <c r="L215" s="77" t="s">
        <v>29</v>
      </c>
      <c r="M215" s="77" t="s">
        <v>30</v>
      </c>
      <c r="N215" s="77" t="s">
        <v>30</v>
      </c>
      <c r="O215" s="77" t="s">
        <v>31</v>
      </c>
      <c r="P215" s="77" t="s">
        <v>29</v>
      </c>
      <c r="Q215" s="77" t="s">
        <v>32</v>
      </c>
      <c r="R215" s="77" t="s">
        <v>48</v>
      </c>
      <c r="S215" s="77" t="s">
        <v>33</v>
      </c>
      <c r="T215" s="77" t="s">
        <v>34</v>
      </c>
      <c r="U215" s="9" t="s">
        <v>35</v>
      </c>
      <c r="V215" s="9"/>
      <c r="W215" s="9"/>
      <c r="X215" s="9"/>
      <c r="Y215" s="85"/>
      <c r="Z215" s="85"/>
      <c r="AA215" s="85"/>
      <c r="AB215" s="85"/>
    </row>
    <row r="216" spans="1:28" hidden="1">
      <c r="A216" s="5" t="s">
        <v>833</v>
      </c>
      <c r="B216" s="6" t="s">
        <v>834</v>
      </c>
      <c r="C216" s="6" t="s">
        <v>26</v>
      </c>
      <c r="D216" s="6" t="s">
        <v>723</v>
      </c>
      <c r="E216" s="6" t="s">
        <v>835</v>
      </c>
      <c r="F216" s="7">
        <v>45902</v>
      </c>
      <c r="G216" s="74">
        <v>45932</v>
      </c>
      <c r="H216" s="74">
        <v>45953</v>
      </c>
      <c r="I216" s="74">
        <v>45954</v>
      </c>
      <c r="J216" s="83">
        <f ca="1">NETWORKDAYS(F216,TODAY())</f>
        <v>156</v>
      </c>
      <c r="K216" s="82" t="str">
        <f t="shared" ref="K216" ca="1" si="91">IF(J216&lt;30,"Menor a 30 días",IF(J216&lt;60,"Entre 30 y 60 días","Mayor a 60 días"))</f>
        <v>Mayor a 60 días</v>
      </c>
      <c r="L216" s="77" t="s">
        <v>29</v>
      </c>
      <c r="M216" s="77" t="s">
        <v>419</v>
      </c>
      <c r="N216" s="77" t="s">
        <v>30</v>
      </c>
      <c r="O216" s="77" t="s">
        <v>31</v>
      </c>
      <c r="P216" s="77" t="s">
        <v>29</v>
      </c>
      <c r="Q216" s="77" t="s">
        <v>32</v>
      </c>
      <c r="R216" s="77" t="s">
        <v>48</v>
      </c>
      <c r="S216" s="77" t="s">
        <v>33</v>
      </c>
      <c r="T216" s="77" t="s">
        <v>34</v>
      </c>
      <c r="U216" s="9" t="s">
        <v>35</v>
      </c>
      <c r="V216" s="9"/>
      <c r="W216" s="9"/>
      <c r="X216" s="9"/>
      <c r="Y216" s="85"/>
      <c r="Z216" s="85"/>
      <c r="AA216" s="85"/>
      <c r="AB216" s="85"/>
    </row>
    <row r="217" spans="1:28" hidden="1">
      <c r="A217" s="5" t="s">
        <v>836</v>
      </c>
      <c r="B217" s="6" t="s">
        <v>837</v>
      </c>
      <c r="C217" s="6" t="s">
        <v>26</v>
      </c>
      <c r="D217" s="6" t="s">
        <v>681</v>
      </c>
      <c r="E217" s="6" t="s">
        <v>838</v>
      </c>
      <c r="F217" s="7">
        <v>45902</v>
      </c>
      <c r="G217" s="74">
        <v>45932</v>
      </c>
      <c r="H217" s="74">
        <v>45908</v>
      </c>
      <c r="I217" s="74">
        <v>45908</v>
      </c>
      <c r="J217" s="83">
        <f t="shared" ref="J217" ca="1" si="92">NETWORKDAYS(F217,TODAY())</f>
        <v>156</v>
      </c>
      <c r="K217" s="82" t="str">
        <f t="shared" ref="K217:K218" ca="1" si="93">IF(J217&lt;30,"Menor a 30 días",IF(J217&lt;60,"Entre 30 y 60 días","Mayor a 60 días"))</f>
        <v>Mayor a 60 días</v>
      </c>
      <c r="L217" s="77" t="s">
        <v>30</v>
      </c>
      <c r="M217" s="77" t="s">
        <v>30</v>
      </c>
      <c r="N217" s="77" t="s">
        <v>30</v>
      </c>
      <c r="O217" s="77" t="s">
        <v>30</v>
      </c>
      <c r="P217" s="77" t="s">
        <v>30</v>
      </c>
      <c r="Q217" s="77" t="s">
        <v>30</v>
      </c>
      <c r="R217" s="77" t="s">
        <v>30</v>
      </c>
      <c r="S217" s="77" t="s">
        <v>30</v>
      </c>
      <c r="T217" s="77" t="s">
        <v>34</v>
      </c>
      <c r="U217" s="9" t="s">
        <v>35</v>
      </c>
      <c r="V217" s="9"/>
      <c r="W217" s="9"/>
      <c r="X217" s="9"/>
      <c r="Y217" s="85"/>
      <c r="Z217" s="85"/>
      <c r="AA217" s="85"/>
      <c r="AB217" s="85"/>
    </row>
    <row r="218" spans="1:28" hidden="1">
      <c r="A218" s="5" t="s">
        <v>839</v>
      </c>
      <c r="B218" s="6" t="s">
        <v>840</v>
      </c>
      <c r="C218" s="6" t="s">
        <v>26</v>
      </c>
      <c r="D218" s="6" t="s">
        <v>841</v>
      </c>
      <c r="E218" s="6" t="s">
        <v>842</v>
      </c>
      <c r="F218" s="7">
        <v>45908</v>
      </c>
      <c r="G218" s="74">
        <v>45938</v>
      </c>
      <c r="H218" s="74">
        <v>45950</v>
      </c>
      <c r="I218" s="74">
        <v>45951</v>
      </c>
      <c r="J218" s="83">
        <f ca="1">NETWORKDAYS(F218,TODAY())</f>
        <v>152</v>
      </c>
      <c r="K218" s="82" t="str">
        <f t="shared" ca="1" si="93"/>
        <v>Mayor a 60 días</v>
      </c>
      <c r="L218" s="77" t="s">
        <v>29</v>
      </c>
      <c r="M218" s="77" t="s">
        <v>30</v>
      </c>
      <c r="N218" s="77" t="s">
        <v>30</v>
      </c>
      <c r="O218" s="77" t="s">
        <v>31</v>
      </c>
      <c r="P218" s="77" t="s">
        <v>29</v>
      </c>
      <c r="Q218" s="77" t="s">
        <v>32</v>
      </c>
      <c r="R218" s="77" t="s">
        <v>30</v>
      </c>
      <c r="S218" s="77" t="s">
        <v>490</v>
      </c>
      <c r="T218" s="77" t="s">
        <v>34</v>
      </c>
      <c r="U218" s="9" t="s">
        <v>35</v>
      </c>
      <c r="V218" s="9"/>
      <c r="W218" s="9"/>
      <c r="X218" s="9"/>
      <c r="Y218" s="85"/>
      <c r="Z218" s="85"/>
      <c r="AA218" s="85"/>
      <c r="AB218" s="85"/>
    </row>
    <row r="219" spans="1:28" hidden="1">
      <c r="A219" s="5" t="s">
        <v>843</v>
      </c>
      <c r="B219" s="6" t="s">
        <v>844</v>
      </c>
      <c r="C219" s="6" t="s">
        <v>26</v>
      </c>
      <c r="D219" s="6" t="s">
        <v>841</v>
      </c>
      <c r="E219" s="6" t="s">
        <v>845</v>
      </c>
      <c r="F219" s="7">
        <v>45908</v>
      </c>
      <c r="G219" s="74">
        <v>45938</v>
      </c>
      <c r="H219" s="74">
        <v>45965</v>
      </c>
      <c r="I219" s="74">
        <v>45966</v>
      </c>
      <c r="J219" s="83">
        <f t="shared" ref="J219:J220" ca="1" si="94">NETWORKDAYS(F219,TODAY())</f>
        <v>152</v>
      </c>
      <c r="K219" s="82" t="str">
        <f t="shared" ref="K219:K220" ca="1" si="95">IF(J219&lt;30,"Menor a 30 días",IF(J219&lt;60,"Entre 30 y 60 días","Mayor a 60 días"))</f>
        <v>Mayor a 60 días</v>
      </c>
      <c r="L219" s="77" t="s">
        <v>29</v>
      </c>
      <c r="M219" s="77" t="s">
        <v>30</v>
      </c>
      <c r="N219" s="77" t="s">
        <v>30</v>
      </c>
      <c r="O219" s="77" t="s">
        <v>31</v>
      </c>
      <c r="P219" s="77" t="s">
        <v>29</v>
      </c>
      <c r="Q219" s="77" t="s">
        <v>32</v>
      </c>
      <c r="R219" s="77" t="s">
        <v>30</v>
      </c>
      <c r="S219" s="77" t="s">
        <v>33</v>
      </c>
      <c r="T219" s="77" t="s">
        <v>34</v>
      </c>
      <c r="U219" s="9" t="s">
        <v>35</v>
      </c>
      <c r="V219" s="9"/>
      <c r="W219" s="9"/>
      <c r="X219" s="9"/>
      <c r="Y219" s="85"/>
      <c r="Z219" s="85"/>
      <c r="AA219" s="85"/>
      <c r="AB219" s="85"/>
    </row>
    <row r="220" spans="1:28" hidden="1">
      <c r="A220" s="5" t="s">
        <v>846</v>
      </c>
      <c r="B220" s="6" t="s">
        <v>847</v>
      </c>
      <c r="C220" s="6" t="s">
        <v>26</v>
      </c>
      <c r="D220" s="6" t="s">
        <v>841</v>
      </c>
      <c r="E220" s="6" t="s">
        <v>848</v>
      </c>
      <c r="F220" s="7">
        <v>45908</v>
      </c>
      <c r="G220" s="74">
        <v>45938</v>
      </c>
      <c r="H220" s="74">
        <v>45982</v>
      </c>
      <c r="I220" s="74">
        <v>45985</v>
      </c>
      <c r="J220" s="83">
        <f t="shared" ca="1" si="94"/>
        <v>152</v>
      </c>
      <c r="K220" s="82" t="str">
        <f t="shared" ca="1" si="95"/>
        <v>Mayor a 60 días</v>
      </c>
      <c r="L220" s="77" t="s">
        <v>29</v>
      </c>
      <c r="M220" s="77" t="s">
        <v>30</v>
      </c>
      <c r="N220" s="77" t="s">
        <v>30</v>
      </c>
      <c r="O220" s="77" t="s">
        <v>31</v>
      </c>
      <c r="P220" s="77" t="s">
        <v>29</v>
      </c>
      <c r="Q220" s="77" t="s">
        <v>32</v>
      </c>
      <c r="R220" s="77" t="s">
        <v>30</v>
      </c>
      <c r="S220" s="77" t="s">
        <v>33</v>
      </c>
      <c r="T220" s="77" t="s">
        <v>34</v>
      </c>
      <c r="U220" s="9" t="s">
        <v>35</v>
      </c>
      <c r="V220" s="9"/>
      <c r="W220" s="9"/>
      <c r="X220" s="9" t="s">
        <v>849</v>
      </c>
      <c r="Y220" s="85"/>
      <c r="Z220" s="85"/>
      <c r="AA220" s="85"/>
      <c r="AB220" s="85"/>
    </row>
    <row r="221" spans="1:28" hidden="1">
      <c r="A221" s="5" t="s">
        <v>850</v>
      </c>
      <c r="B221" s="6" t="s">
        <v>851</v>
      </c>
      <c r="C221" s="6" t="s">
        <v>26</v>
      </c>
      <c r="D221" s="6" t="s">
        <v>852</v>
      </c>
      <c r="E221" s="6" t="s">
        <v>853</v>
      </c>
      <c r="F221" s="7">
        <v>45910</v>
      </c>
      <c r="G221" s="74">
        <v>45924</v>
      </c>
      <c r="H221" s="74">
        <v>45922</v>
      </c>
      <c r="I221" s="74">
        <v>45922</v>
      </c>
      <c r="J221" s="83">
        <f t="shared" ref="J221" ca="1" si="96">NETWORKDAYS(F221,TODAY())</f>
        <v>150</v>
      </c>
      <c r="K221" s="82" t="str">
        <f t="shared" ref="K221" ca="1" si="97">IF(J221&lt;30,"Menor a 30 días",IF(J221&lt;60,"Entre 30 y 60 días","Mayor a 60 días"))</f>
        <v>Mayor a 60 días</v>
      </c>
      <c r="L221" s="77" t="s">
        <v>176</v>
      </c>
      <c r="M221" s="77" t="s">
        <v>30</v>
      </c>
      <c r="N221" s="77" t="s">
        <v>30</v>
      </c>
      <c r="O221" s="77" t="s">
        <v>31</v>
      </c>
      <c r="P221" s="77" t="s">
        <v>29</v>
      </c>
      <c r="Q221" s="77" t="s">
        <v>30</v>
      </c>
      <c r="R221" s="77" t="s">
        <v>30</v>
      </c>
      <c r="S221" s="77" t="s">
        <v>30</v>
      </c>
      <c r="T221" s="77" t="s">
        <v>34</v>
      </c>
      <c r="U221" s="9" t="s">
        <v>35</v>
      </c>
      <c r="V221" s="9"/>
      <c r="W221" s="9"/>
      <c r="X221" s="9"/>
      <c r="Y221" s="85"/>
      <c r="Z221" s="85"/>
      <c r="AA221" s="85"/>
      <c r="AB221" s="85"/>
    </row>
    <row r="222" spans="1:28" hidden="1">
      <c r="A222" s="5" t="s">
        <v>854</v>
      </c>
      <c r="B222" s="6" t="s">
        <v>855</v>
      </c>
      <c r="C222" s="6" t="s">
        <v>26</v>
      </c>
      <c r="D222" s="6" t="s">
        <v>856</v>
      </c>
      <c r="E222" s="6" t="s">
        <v>857</v>
      </c>
      <c r="F222" s="7">
        <v>45912</v>
      </c>
      <c r="G222" s="74">
        <v>45936</v>
      </c>
      <c r="H222" s="74">
        <v>45919</v>
      </c>
      <c r="I222" s="74">
        <v>45930</v>
      </c>
      <c r="J222" s="83">
        <f t="shared" ref="J222" ca="1" si="98">NETWORKDAYS(F222,TODAY())</f>
        <v>148</v>
      </c>
      <c r="K222" s="82" t="str">
        <f t="shared" ref="K222" ca="1" si="99">IF(J222&lt;30,"Menor a 30 días",IF(J222&lt;60,"Entre 30 y 60 días","Mayor a 60 días"))</f>
        <v>Mayor a 60 días</v>
      </c>
      <c r="L222" s="77" t="s">
        <v>30</v>
      </c>
      <c r="M222" s="77" t="s">
        <v>30</v>
      </c>
      <c r="N222" s="77" t="s">
        <v>30</v>
      </c>
      <c r="O222" s="77" t="s">
        <v>30</v>
      </c>
      <c r="P222" s="77" t="s">
        <v>30</v>
      </c>
      <c r="Q222" s="77" t="s">
        <v>32</v>
      </c>
      <c r="R222" s="77" t="s">
        <v>30</v>
      </c>
      <c r="S222" s="77" t="s">
        <v>30</v>
      </c>
      <c r="T222" s="77" t="s">
        <v>34</v>
      </c>
      <c r="U222" s="9" t="s">
        <v>35</v>
      </c>
      <c r="V222" s="9"/>
      <c r="W222" s="9"/>
      <c r="X222" s="9"/>
      <c r="Y222" s="85"/>
      <c r="Z222" s="85"/>
      <c r="AA222" s="85"/>
      <c r="AB222" s="85"/>
    </row>
    <row r="223" spans="1:28" hidden="1">
      <c r="A223" s="5" t="s">
        <v>858</v>
      </c>
      <c r="B223" s="6" t="s">
        <v>859</v>
      </c>
      <c r="C223" s="6" t="s">
        <v>26</v>
      </c>
      <c r="D223" s="6" t="s">
        <v>860</v>
      </c>
      <c r="E223" s="6" t="s">
        <v>30</v>
      </c>
      <c r="F223" s="7">
        <v>45875</v>
      </c>
      <c r="G223" s="74"/>
      <c r="H223" s="74">
        <v>45922</v>
      </c>
      <c r="I223" s="74">
        <v>45922</v>
      </c>
      <c r="J223" s="83">
        <f t="shared" ref="J223:J225" ca="1" si="100">NETWORKDAYS(F223,TODAY())</f>
        <v>175</v>
      </c>
      <c r="K223" s="82" t="str">
        <f t="shared" ref="K223:K225" ca="1" si="101">IF(J223&lt;30,"Menor a 30 días",IF(J223&lt;60,"Entre 30 y 60 días","Mayor a 60 días"))</f>
        <v>Mayor a 60 días</v>
      </c>
      <c r="L223" s="77" t="s">
        <v>30</v>
      </c>
      <c r="M223" s="77" t="s">
        <v>30</v>
      </c>
      <c r="N223" s="77" t="s">
        <v>30</v>
      </c>
      <c r="O223" s="77" t="s">
        <v>30</v>
      </c>
      <c r="P223" s="77" t="s">
        <v>30</v>
      </c>
      <c r="Q223" s="77" t="s">
        <v>30</v>
      </c>
      <c r="R223" s="77" t="s">
        <v>30</v>
      </c>
      <c r="S223" s="77" t="s">
        <v>30</v>
      </c>
      <c r="T223" s="77" t="s">
        <v>34</v>
      </c>
      <c r="U223" s="9" t="s">
        <v>35</v>
      </c>
      <c r="V223" s="9"/>
      <c r="W223" s="9"/>
      <c r="X223" s="9"/>
      <c r="Y223" s="85"/>
      <c r="Z223" s="85"/>
      <c r="AA223" s="85"/>
      <c r="AB223" s="85"/>
    </row>
    <row r="224" spans="1:28" hidden="1">
      <c r="A224" s="5" t="s">
        <v>861</v>
      </c>
      <c r="B224" s="6" t="s">
        <v>862</v>
      </c>
      <c r="C224" s="6" t="s">
        <v>26</v>
      </c>
      <c r="D224" s="6" t="s">
        <v>30</v>
      </c>
      <c r="E224" s="6" t="s">
        <v>30</v>
      </c>
      <c r="F224" s="7">
        <v>45923</v>
      </c>
      <c r="G224" s="74"/>
      <c r="H224" s="74">
        <v>45923</v>
      </c>
      <c r="I224" s="74">
        <v>45926</v>
      </c>
      <c r="J224" s="83">
        <f t="shared" ca="1" si="100"/>
        <v>141</v>
      </c>
      <c r="K224" s="82" t="str">
        <f t="shared" ca="1" si="101"/>
        <v>Mayor a 60 días</v>
      </c>
      <c r="L224" s="77" t="s">
        <v>30</v>
      </c>
      <c r="M224" s="77" t="s">
        <v>30</v>
      </c>
      <c r="N224" s="77" t="s">
        <v>30</v>
      </c>
      <c r="O224" s="77" t="s">
        <v>30</v>
      </c>
      <c r="P224" s="77" t="s">
        <v>30</v>
      </c>
      <c r="Q224" s="77" t="s">
        <v>30</v>
      </c>
      <c r="R224" s="77" t="s">
        <v>30</v>
      </c>
      <c r="S224" s="77" t="s">
        <v>30</v>
      </c>
      <c r="T224" s="77" t="s">
        <v>34</v>
      </c>
      <c r="U224" s="9" t="s">
        <v>35</v>
      </c>
      <c r="V224" s="9"/>
      <c r="W224" s="9"/>
      <c r="X224" s="9"/>
      <c r="Y224" s="85"/>
      <c r="Z224" s="85"/>
      <c r="AA224" s="85"/>
      <c r="AB224" s="85"/>
    </row>
    <row r="225" spans="1:28" hidden="1">
      <c r="A225" s="5" t="s">
        <v>863</v>
      </c>
      <c r="B225" s="6" t="s">
        <v>864</v>
      </c>
      <c r="C225" s="6" t="s">
        <v>26</v>
      </c>
      <c r="D225" s="6" t="s">
        <v>865</v>
      </c>
      <c r="E225" s="6" t="s">
        <v>666</v>
      </c>
      <c r="F225" s="7">
        <v>45929</v>
      </c>
      <c r="G225" s="74"/>
      <c r="H225" s="74">
        <v>45946</v>
      </c>
      <c r="I225" s="74">
        <v>45951</v>
      </c>
      <c r="J225" s="83">
        <f t="shared" ca="1" si="100"/>
        <v>137</v>
      </c>
      <c r="K225" s="82" t="str">
        <f t="shared" ca="1" si="101"/>
        <v>Mayor a 60 días</v>
      </c>
      <c r="L225" s="77" t="s">
        <v>30</v>
      </c>
      <c r="M225" s="77" t="s">
        <v>30</v>
      </c>
      <c r="N225" s="77" t="s">
        <v>30</v>
      </c>
      <c r="O225" s="77" t="s">
        <v>30</v>
      </c>
      <c r="P225" s="77" t="s">
        <v>30</v>
      </c>
      <c r="Q225" s="77" t="s">
        <v>30</v>
      </c>
      <c r="R225" s="77" t="s">
        <v>30</v>
      </c>
      <c r="S225" s="77" t="s">
        <v>30</v>
      </c>
      <c r="T225" s="77" t="s">
        <v>34</v>
      </c>
      <c r="U225" s="9" t="s">
        <v>35</v>
      </c>
      <c r="V225" s="9"/>
      <c r="W225" s="9"/>
      <c r="X225" s="9"/>
      <c r="Y225" s="85"/>
      <c r="Z225" s="85"/>
      <c r="AA225" s="85"/>
      <c r="AB225" s="85"/>
    </row>
    <row r="226" spans="1:28" hidden="1">
      <c r="A226" s="5" t="s">
        <v>866</v>
      </c>
      <c r="B226" s="6" t="s">
        <v>867</v>
      </c>
      <c r="C226" s="6" t="s">
        <v>26</v>
      </c>
      <c r="D226" s="6" t="s">
        <v>868</v>
      </c>
      <c r="E226" s="6" t="s">
        <v>869</v>
      </c>
      <c r="F226" s="7">
        <v>45929</v>
      </c>
      <c r="G226" s="74">
        <v>45958</v>
      </c>
      <c r="H226" s="74">
        <v>45939</v>
      </c>
      <c r="I226" s="74">
        <v>45939</v>
      </c>
      <c r="J226" s="83">
        <f t="shared" ref="J226" ca="1" si="102">NETWORKDAYS(F226,TODAY())</f>
        <v>137</v>
      </c>
      <c r="K226" s="82" t="str">
        <f t="shared" ref="K226" ca="1" si="103">IF(J226&lt;30,"Menor a 30 días",IF(J226&lt;60,"Entre 30 y 60 días","Mayor a 60 días"))</f>
        <v>Mayor a 60 días</v>
      </c>
      <c r="L226" s="77" t="s">
        <v>30</v>
      </c>
      <c r="M226" s="77" t="s">
        <v>30</v>
      </c>
      <c r="N226" s="77" t="s">
        <v>30</v>
      </c>
      <c r="O226" s="77" t="s">
        <v>30</v>
      </c>
      <c r="P226" s="77" t="s">
        <v>30</v>
      </c>
      <c r="Q226" s="77" t="s">
        <v>30</v>
      </c>
      <c r="R226" s="77" t="s">
        <v>30</v>
      </c>
      <c r="S226" s="77" t="s">
        <v>30</v>
      </c>
      <c r="T226" s="77" t="s">
        <v>34</v>
      </c>
      <c r="U226" s="9" t="s">
        <v>35</v>
      </c>
      <c r="V226" s="9"/>
      <c r="W226" s="9"/>
      <c r="X226" s="9"/>
      <c r="Y226" s="85"/>
      <c r="Z226" s="85"/>
      <c r="AA226" s="85"/>
      <c r="AB226" s="85"/>
    </row>
    <row r="227" spans="1:28" ht="20.25" hidden="1">
      <c r="A227" s="5" t="s">
        <v>870</v>
      </c>
      <c r="B227" s="6" t="s">
        <v>871</v>
      </c>
      <c r="C227" s="6" t="s">
        <v>26</v>
      </c>
      <c r="D227" s="6" t="s">
        <v>378</v>
      </c>
      <c r="E227" s="6" t="s">
        <v>872</v>
      </c>
      <c r="F227" s="7">
        <v>45929</v>
      </c>
      <c r="G227" s="74">
        <v>45958</v>
      </c>
      <c r="H227" s="74"/>
      <c r="I227" s="74"/>
      <c r="J227" s="83">
        <f t="shared" ref="J227" ca="1" si="104">NETWORKDAYS(F227,TODAY())</f>
        <v>137</v>
      </c>
      <c r="K227" s="82" t="str">
        <f t="shared" ref="K227" ca="1" si="105">IF(J227&lt;30,"Menor a 30 días",IF(J227&lt;60,"Entre 30 y 60 días","Mayor a 60 días"))</f>
        <v>Mayor a 60 días</v>
      </c>
      <c r="L227" s="77" t="s">
        <v>545</v>
      </c>
      <c r="M227" s="77"/>
      <c r="N227" s="77"/>
      <c r="O227" s="77" t="s">
        <v>31</v>
      </c>
      <c r="P227" s="77" t="s">
        <v>93</v>
      </c>
      <c r="Q227" s="77" t="s">
        <v>143</v>
      </c>
      <c r="R227" s="77" t="s">
        <v>30</v>
      </c>
      <c r="S227" s="77" t="s">
        <v>119</v>
      </c>
      <c r="T227" s="77" t="s">
        <v>200</v>
      </c>
      <c r="U227" s="9" t="s">
        <v>200</v>
      </c>
      <c r="V227" s="9"/>
      <c r="W227" s="9"/>
      <c r="X227" s="9"/>
      <c r="Y227" s="85"/>
      <c r="Z227" s="85"/>
      <c r="AA227" s="85"/>
      <c r="AB227" s="85"/>
    </row>
    <row r="228" spans="1:28" hidden="1">
      <c r="A228" s="5" t="s">
        <v>873</v>
      </c>
      <c r="B228" s="6" t="s">
        <v>874</v>
      </c>
      <c r="C228" s="6" t="s">
        <v>26</v>
      </c>
      <c r="D228" s="6" t="s">
        <v>875</v>
      </c>
      <c r="E228" s="6" t="s">
        <v>666</v>
      </c>
      <c r="F228" s="7">
        <v>45798</v>
      </c>
      <c r="G228" s="74"/>
      <c r="H228" s="74">
        <v>45927</v>
      </c>
      <c r="I228" s="74">
        <v>45951</v>
      </c>
      <c r="J228" s="83">
        <f t="shared" ref="J228" ca="1" si="106">NETWORKDAYS(F228,TODAY())</f>
        <v>230</v>
      </c>
      <c r="K228" s="82" t="str">
        <f t="shared" ref="K228" ca="1" si="107">IF(J228&lt;30,"Menor a 30 días",IF(J228&lt;60,"Entre 30 y 60 días","Mayor a 60 días"))</f>
        <v>Mayor a 60 días</v>
      </c>
      <c r="L228" s="77" t="s">
        <v>30</v>
      </c>
      <c r="M228" s="77" t="s">
        <v>30</v>
      </c>
      <c r="N228" s="77" t="s">
        <v>30</v>
      </c>
      <c r="O228" s="77" t="s">
        <v>31</v>
      </c>
      <c r="P228" s="77" t="s">
        <v>29</v>
      </c>
      <c r="Q228" s="77" t="s">
        <v>32</v>
      </c>
      <c r="R228" s="77" t="s">
        <v>48</v>
      </c>
      <c r="S228" s="77" t="s">
        <v>33</v>
      </c>
      <c r="T228" s="77" t="s">
        <v>34</v>
      </c>
      <c r="U228" s="9" t="s">
        <v>35</v>
      </c>
      <c r="V228" s="9"/>
      <c r="W228" s="9"/>
      <c r="X228" s="9"/>
      <c r="Y228" s="85"/>
      <c r="Z228" s="85"/>
      <c r="AA228" s="85"/>
      <c r="AB228" s="85"/>
    </row>
    <row r="229" spans="1:28" hidden="1">
      <c r="A229" s="5" t="s">
        <v>876</v>
      </c>
      <c r="B229" s="6" t="s">
        <v>877</v>
      </c>
      <c r="C229" s="6" t="s">
        <v>26</v>
      </c>
      <c r="D229" s="6" t="s">
        <v>878</v>
      </c>
      <c r="E229" s="6" t="s">
        <v>666</v>
      </c>
      <c r="F229" s="7">
        <v>45798</v>
      </c>
      <c r="G229" s="74"/>
      <c r="H229" s="74">
        <v>45927</v>
      </c>
      <c r="I229" s="74">
        <v>45951</v>
      </c>
      <c r="J229" s="83">
        <f t="shared" ref="J229" ca="1" si="108">NETWORKDAYS(F229,TODAY())</f>
        <v>230</v>
      </c>
      <c r="K229" s="82" t="str">
        <f t="shared" ref="K229" ca="1" si="109">IF(J229&lt;30,"Menor a 30 días",IF(J229&lt;60,"Entre 30 y 60 días","Mayor a 60 días"))</f>
        <v>Mayor a 60 días</v>
      </c>
      <c r="L229" s="77" t="s">
        <v>30</v>
      </c>
      <c r="M229" s="77" t="s">
        <v>30</v>
      </c>
      <c r="N229" s="77" t="s">
        <v>30</v>
      </c>
      <c r="O229" s="77" t="s">
        <v>31</v>
      </c>
      <c r="P229" s="77" t="s">
        <v>29</v>
      </c>
      <c r="Q229" s="77" t="s">
        <v>32</v>
      </c>
      <c r="R229" s="77" t="s">
        <v>48</v>
      </c>
      <c r="S229" s="77" t="s">
        <v>33</v>
      </c>
      <c r="T229" s="77" t="s">
        <v>34</v>
      </c>
      <c r="U229" s="9" t="s">
        <v>35</v>
      </c>
      <c r="V229" s="9"/>
      <c r="W229" s="9"/>
      <c r="X229" s="9"/>
      <c r="Y229" s="85"/>
      <c r="Z229" s="85"/>
      <c r="AA229" s="85"/>
      <c r="AB229" s="85"/>
    </row>
    <row r="230" spans="1:28" hidden="1">
      <c r="A230" s="5" t="s">
        <v>879</v>
      </c>
      <c r="B230" s="6" t="s">
        <v>880</v>
      </c>
      <c r="C230" s="6" t="s">
        <v>26</v>
      </c>
      <c r="D230" s="6" t="s">
        <v>881</v>
      </c>
      <c r="E230" s="6" t="s">
        <v>882</v>
      </c>
      <c r="F230" s="7">
        <v>45931</v>
      </c>
      <c r="G230" s="74">
        <v>45960</v>
      </c>
      <c r="H230" s="74">
        <v>45948</v>
      </c>
      <c r="I230" s="74">
        <v>45951</v>
      </c>
      <c r="J230" s="83">
        <f t="shared" ref="J230" ca="1" si="110">NETWORKDAYS(F230,TODAY())</f>
        <v>135</v>
      </c>
      <c r="K230" s="82" t="str">
        <f t="shared" ref="K230" ca="1" si="111">IF(J230&lt;30,"Menor a 30 días",IF(J230&lt;60,"Entre 30 y 60 días","Mayor a 60 días"))</f>
        <v>Mayor a 60 días</v>
      </c>
      <c r="L230" s="77" t="s">
        <v>176</v>
      </c>
      <c r="M230" s="77" t="s">
        <v>30</v>
      </c>
      <c r="N230" s="77" t="s">
        <v>30</v>
      </c>
      <c r="O230" s="77" t="s">
        <v>31</v>
      </c>
      <c r="P230" s="77" t="s">
        <v>29</v>
      </c>
      <c r="Q230" s="77" t="s">
        <v>32</v>
      </c>
      <c r="R230" s="77" t="s">
        <v>30</v>
      </c>
      <c r="S230" s="77" t="s">
        <v>30</v>
      </c>
      <c r="T230" s="77" t="s">
        <v>34</v>
      </c>
      <c r="U230" s="9" t="s">
        <v>35</v>
      </c>
      <c r="V230" s="9"/>
      <c r="W230" s="9"/>
      <c r="X230" s="9"/>
      <c r="Y230" s="85"/>
      <c r="Z230" s="85"/>
      <c r="AA230" s="85"/>
      <c r="AB230" s="85"/>
    </row>
    <row r="231" spans="1:28" hidden="1">
      <c r="A231" s="5" t="s">
        <v>883</v>
      </c>
      <c r="B231" s="6" t="s">
        <v>884</v>
      </c>
      <c r="C231" s="6" t="s">
        <v>26</v>
      </c>
      <c r="D231" s="6" t="s">
        <v>196</v>
      </c>
      <c r="E231" s="6" t="s">
        <v>885</v>
      </c>
      <c r="F231" s="7">
        <v>45932</v>
      </c>
      <c r="G231" s="74">
        <v>45937</v>
      </c>
      <c r="H231" s="74">
        <v>45945</v>
      </c>
      <c r="I231" s="74"/>
      <c r="J231" s="83">
        <f t="shared" ref="J231" ca="1" si="112">NETWORKDAYS(F231,TODAY())</f>
        <v>134</v>
      </c>
      <c r="K231" s="82" t="str">
        <f t="shared" ref="K231" ca="1" si="113">IF(J231&lt;30,"Menor a 30 días",IF(J231&lt;60,"Entre 30 y 60 días","Mayor a 60 días"))</f>
        <v>Mayor a 60 días</v>
      </c>
      <c r="L231" s="77" t="s">
        <v>29</v>
      </c>
      <c r="M231" s="77" t="s">
        <v>30</v>
      </c>
      <c r="N231" s="77" t="s">
        <v>30</v>
      </c>
      <c r="O231" s="77" t="s">
        <v>30</v>
      </c>
      <c r="P231" s="77" t="s">
        <v>30</v>
      </c>
      <c r="Q231" s="77" t="s">
        <v>30</v>
      </c>
      <c r="R231" s="77" t="s">
        <v>30</v>
      </c>
      <c r="S231" s="77" t="s">
        <v>30</v>
      </c>
      <c r="T231" s="77" t="s">
        <v>34</v>
      </c>
      <c r="U231" s="9" t="s">
        <v>35</v>
      </c>
      <c r="V231" s="9"/>
      <c r="W231" s="9"/>
      <c r="X231" s="9"/>
      <c r="Y231" s="85"/>
      <c r="Z231" s="85"/>
      <c r="AA231" s="85"/>
      <c r="AB231" s="85"/>
    </row>
    <row r="232" spans="1:28" hidden="1">
      <c r="A232" s="5" t="s">
        <v>886</v>
      </c>
      <c r="B232" s="6" t="s">
        <v>715</v>
      </c>
      <c r="C232" s="6" t="s">
        <v>26</v>
      </c>
      <c r="D232" s="6" t="s">
        <v>887</v>
      </c>
      <c r="E232" s="6" t="s">
        <v>888</v>
      </c>
      <c r="F232" s="7">
        <v>45936</v>
      </c>
      <c r="G232" s="74">
        <v>45960</v>
      </c>
      <c r="H232" s="74">
        <v>45985</v>
      </c>
      <c r="I232" s="74">
        <v>45986</v>
      </c>
      <c r="J232" s="83">
        <f t="shared" ref="J232" ca="1" si="114">NETWORKDAYS(F232,TODAY())</f>
        <v>132</v>
      </c>
      <c r="K232" s="82" t="str">
        <f t="shared" ref="K232" ca="1" si="115">IF(J232&lt;30,"Menor a 30 días",IF(J232&lt;60,"Entre 30 y 60 días","Mayor a 60 días"))</f>
        <v>Mayor a 60 días</v>
      </c>
      <c r="L232" s="77" t="s">
        <v>30</v>
      </c>
      <c r="M232" s="77" t="s">
        <v>30</v>
      </c>
      <c r="N232" s="77" t="s">
        <v>30</v>
      </c>
      <c r="O232" s="77" t="s">
        <v>30</v>
      </c>
      <c r="P232" s="77" t="s">
        <v>30</v>
      </c>
      <c r="Q232" s="77" t="s">
        <v>30</v>
      </c>
      <c r="R232" s="77" t="s">
        <v>48</v>
      </c>
      <c r="S232" s="77" t="s">
        <v>30</v>
      </c>
      <c r="T232" s="77" t="s">
        <v>34</v>
      </c>
      <c r="U232" s="9" t="s">
        <v>35</v>
      </c>
      <c r="V232" s="9"/>
      <c r="W232" s="9"/>
      <c r="X232" s="9"/>
      <c r="Y232" s="85"/>
      <c r="Z232" s="85"/>
      <c r="AA232" s="85"/>
      <c r="AB232" s="85"/>
    </row>
    <row r="233" spans="1:28" ht="20.25" hidden="1">
      <c r="A233" s="5" t="s">
        <v>889</v>
      </c>
      <c r="B233" s="6" t="s">
        <v>890</v>
      </c>
      <c r="C233" s="6" t="s">
        <v>26</v>
      </c>
      <c r="D233" s="6" t="s">
        <v>891</v>
      </c>
      <c r="E233" s="8">
        <v>997</v>
      </c>
      <c r="F233" s="7">
        <v>45936</v>
      </c>
      <c r="G233" s="74"/>
      <c r="H233" s="74">
        <v>46014</v>
      </c>
      <c r="I233" s="74"/>
      <c r="J233" s="83">
        <f t="shared" ref="J233:J234" ca="1" si="116">NETWORKDAYS(F233,TODAY())</f>
        <v>132</v>
      </c>
      <c r="K233" s="82" t="str">
        <f t="shared" ref="K233:K234" ca="1" si="117">IF(J233&lt;30,"Menor a 30 días",IF(J233&lt;60,"Entre 30 y 60 días","Mayor a 60 días"))</f>
        <v>Mayor a 60 días</v>
      </c>
      <c r="L233" s="77" t="s">
        <v>29</v>
      </c>
      <c r="M233" s="77" t="s">
        <v>30</v>
      </c>
      <c r="N233" s="77" t="s">
        <v>30</v>
      </c>
      <c r="O233" s="77" t="s">
        <v>31</v>
      </c>
      <c r="P233" s="77" t="s">
        <v>29</v>
      </c>
      <c r="Q233" s="77" t="s">
        <v>30</v>
      </c>
      <c r="R233" s="77" t="s">
        <v>48</v>
      </c>
      <c r="S233" s="77" t="s">
        <v>33</v>
      </c>
      <c r="T233" s="77" t="s">
        <v>34</v>
      </c>
      <c r="U233" s="9" t="s">
        <v>35</v>
      </c>
      <c r="V233" s="9"/>
      <c r="W233" s="9"/>
      <c r="X233" s="9"/>
      <c r="Y233" s="85"/>
      <c r="Z233" s="85"/>
      <c r="AA233" s="85"/>
      <c r="AB233" s="85"/>
    </row>
    <row r="234" spans="1:28" hidden="1">
      <c r="A234" s="5" t="s">
        <v>892</v>
      </c>
      <c r="B234" s="6" t="s">
        <v>893</v>
      </c>
      <c r="C234" s="6" t="s">
        <v>26</v>
      </c>
      <c r="D234" s="6" t="s">
        <v>894</v>
      </c>
      <c r="E234" s="6" t="s">
        <v>895</v>
      </c>
      <c r="F234" s="7">
        <v>45937</v>
      </c>
      <c r="G234" s="74"/>
      <c r="H234" s="74">
        <v>45937</v>
      </c>
      <c r="I234" s="74">
        <v>45937</v>
      </c>
      <c r="J234" s="83">
        <f t="shared" ca="1" si="116"/>
        <v>131</v>
      </c>
      <c r="K234" s="82" t="str">
        <f t="shared" ca="1" si="117"/>
        <v>Mayor a 60 días</v>
      </c>
      <c r="L234" s="77" t="s">
        <v>30</v>
      </c>
      <c r="M234" s="77" t="s">
        <v>30</v>
      </c>
      <c r="N234" s="77" t="s">
        <v>30</v>
      </c>
      <c r="O234" s="77" t="s">
        <v>30</v>
      </c>
      <c r="P234" s="77" t="s">
        <v>30</v>
      </c>
      <c r="Q234" s="77" t="s">
        <v>30</v>
      </c>
      <c r="R234" s="77" t="s">
        <v>30</v>
      </c>
      <c r="S234" s="77" t="s">
        <v>30</v>
      </c>
      <c r="T234" s="77" t="s">
        <v>34</v>
      </c>
      <c r="U234" s="9" t="s">
        <v>35</v>
      </c>
      <c r="V234" s="9"/>
      <c r="W234" s="9"/>
      <c r="X234" s="9"/>
      <c r="Y234" s="85"/>
      <c r="Z234" s="85"/>
      <c r="AA234" s="85"/>
      <c r="AB234" s="85"/>
    </row>
    <row r="235" spans="1:28" ht="23.25" hidden="1">
      <c r="A235" s="5" t="s">
        <v>896</v>
      </c>
      <c r="B235" s="6" t="s">
        <v>897</v>
      </c>
      <c r="C235" s="6" t="s">
        <v>898</v>
      </c>
      <c r="D235" s="6" t="s">
        <v>899</v>
      </c>
      <c r="E235" s="6" t="s">
        <v>900</v>
      </c>
      <c r="F235" s="7">
        <v>45937</v>
      </c>
      <c r="G235" s="74">
        <v>45970</v>
      </c>
      <c r="H235" s="74">
        <v>45975</v>
      </c>
      <c r="I235" s="74">
        <v>45985</v>
      </c>
      <c r="J235" s="83">
        <f ca="1">NETWORKDAYS(F235,TODAY())</f>
        <v>131</v>
      </c>
      <c r="K235" s="82" t="str">
        <f ca="1">IF(J235&lt;30,"Menor a 30 días",IF(J235&lt;60,"Entre 30 y 60 días","Mayor a 60 días"))</f>
        <v>Mayor a 60 días</v>
      </c>
      <c r="L235" s="77" t="s">
        <v>29</v>
      </c>
      <c r="M235" s="77" t="s">
        <v>30</v>
      </c>
      <c r="N235" s="77" t="s">
        <v>30</v>
      </c>
      <c r="O235" s="77" t="s">
        <v>31</v>
      </c>
      <c r="P235" s="77" t="s">
        <v>29</v>
      </c>
      <c r="Q235" s="77" t="s">
        <v>30</v>
      </c>
      <c r="R235" s="77" t="s">
        <v>30</v>
      </c>
      <c r="S235" s="77" t="s">
        <v>30</v>
      </c>
      <c r="T235" s="77" t="s">
        <v>34</v>
      </c>
      <c r="U235" s="9" t="s">
        <v>35</v>
      </c>
      <c r="V235" s="9"/>
      <c r="W235" s="9"/>
      <c r="X235" s="9"/>
      <c r="Y235" s="85"/>
      <c r="Z235" s="85"/>
      <c r="AA235" s="85"/>
      <c r="AB235" s="85"/>
    </row>
    <row r="236" spans="1:28" hidden="1">
      <c r="A236" s="5" t="s">
        <v>901</v>
      </c>
      <c r="B236" s="6" t="s">
        <v>902</v>
      </c>
      <c r="C236" s="6" t="s">
        <v>26</v>
      </c>
      <c r="D236" s="6" t="s">
        <v>903</v>
      </c>
      <c r="E236" s="6" t="s">
        <v>776</v>
      </c>
      <c r="F236" s="7">
        <v>45937</v>
      </c>
      <c r="G236" s="74"/>
      <c r="H236" s="74">
        <v>45937</v>
      </c>
      <c r="I236" s="74">
        <v>45937</v>
      </c>
      <c r="J236" s="83">
        <f ca="1">NETWORKDAYS(F236,TODAY())</f>
        <v>131</v>
      </c>
      <c r="K236" s="82" t="str">
        <f ca="1">IF(J236&lt;30,"Menor a 30 días",IF(J236&lt;60,"Entre 30 y 60 días","Mayor a 60 días"))</f>
        <v>Mayor a 60 días</v>
      </c>
      <c r="L236" s="77" t="s">
        <v>30</v>
      </c>
      <c r="M236" s="77" t="s">
        <v>30</v>
      </c>
      <c r="N236" s="77" t="s">
        <v>30</v>
      </c>
      <c r="O236" s="77" t="s">
        <v>30</v>
      </c>
      <c r="P236" s="77" t="s">
        <v>30</v>
      </c>
      <c r="Q236" s="77" t="s">
        <v>30</v>
      </c>
      <c r="R236" s="77" t="s">
        <v>30</v>
      </c>
      <c r="S236" s="77" t="s">
        <v>30</v>
      </c>
      <c r="T236" s="77" t="s">
        <v>34</v>
      </c>
      <c r="U236" s="9" t="s">
        <v>35</v>
      </c>
      <c r="V236" s="9"/>
      <c r="W236" s="9"/>
      <c r="X236" s="9"/>
      <c r="Y236" s="85"/>
      <c r="Z236" s="85"/>
      <c r="AA236" s="85"/>
      <c r="AB236" s="85"/>
    </row>
    <row r="237" spans="1:28" ht="20.25" hidden="1">
      <c r="A237" s="5" t="s">
        <v>904</v>
      </c>
      <c r="B237" s="6" t="s">
        <v>905</v>
      </c>
      <c r="C237" s="6" t="s">
        <v>898</v>
      </c>
      <c r="D237" s="6" t="s">
        <v>906</v>
      </c>
      <c r="E237" s="6" t="s">
        <v>907</v>
      </c>
      <c r="F237" s="7">
        <v>45943</v>
      </c>
      <c r="G237" s="74">
        <v>45972</v>
      </c>
      <c r="H237" s="74">
        <v>45988</v>
      </c>
      <c r="I237" s="74">
        <v>45989</v>
      </c>
      <c r="J237" s="83">
        <f ca="1">NETWORKDAYS(F237,TODAY())</f>
        <v>127</v>
      </c>
      <c r="K237" s="82" t="str">
        <f ca="1">IF(J237&lt;30,"Menor a 30 días",IF(J237&lt;60,"Entre 30 y 60 días","Mayor a 60 días"))</f>
        <v>Mayor a 60 días</v>
      </c>
      <c r="L237" s="77" t="s">
        <v>29</v>
      </c>
      <c r="M237" s="77" t="s">
        <v>30</v>
      </c>
      <c r="N237" s="77" t="s">
        <v>30</v>
      </c>
      <c r="O237" s="77" t="s">
        <v>31</v>
      </c>
      <c r="P237" s="77" t="s">
        <v>29</v>
      </c>
      <c r="Q237" s="77" t="s">
        <v>32</v>
      </c>
      <c r="R237" s="77" t="s">
        <v>48</v>
      </c>
      <c r="S237" s="77" t="s">
        <v>33</v>
      </c>
      <c r="T237" s="77" t="s">
        <v>34</v>
      </c>
      <c r="U237" s="9" t="s">
        <v>35</v>
      </c>
      <c r="V237" s="9"/>
      <c r="W237" s="9"/>
      <c r="X237" s="9"/>
      <c r="Y237" s="85"/>
      <c r="Z237" s="85"/>
      <c r="AA237" s="85"/>
      <c r="AB237" s="85"/>
    </row>
    <row r="238" spans="1:28" ht="20.25" hidden="1">
      <c r="A238" s="5" t="s">
        <v>908</v>
      </c>
      <c r="B238" s="6" t="s">
        <v>909</v>
      </c>
      <c r="C238" s="6" t="s">
        <v>26</v>
      </c>
      <c r="D238" s="6" t="s">
        <v>229</v>
      </c>
      <c r="E238" s="6" t="s">
        <v>910</v>
      </c>
      <c r="F238" s="7">
        <v>45943</v>
      </c>
      <c r="G238" s="74">
        <v>45972</v>
      </c>
      <c r="H238" s="74">
        <v>46069</v>
      </c>
      <c r="I238" s="74">
        <v>46070</v>
      </c>
      <c r="J238" s="83">
        <f ca="1">NETWORKDAYS(F238,TODAY())</f>
        <v>127</v>
      </c>
      <c r="K238" s="82" t="str">
        <f ca="1">IF(J238&lt;30,"Menor a 30 días",IF(J238&lt;60,"Entre 30 y 60 días","Mayor a 60 días"))</f>
        <v>Mayor a 60 días</v>
      </c>
      <c r="L238" s="77" t="s">
        <v>176</v>
      </c>
      <c r="M238" s="77" t="s">
        <v>30</v>
      </c>
      <c r="N238" s="77" t="s">
        <v>30</v>
      </c>
      <c r="O238" s="77" t="s">
        <v>31</v>
      </c>
      <c r="P238" s="77" t="s">
        <v>29</v>
      </c>
      <c r="Q238" s="77" t="s">
        <v>32</v>
      </c>
      <c r="R238" s="77" t="s">
        <v>30</v>
      </c>
      <c r="S238" s="77" t="s">
        <v>33</v>
      </c>
      <c r="T238" s="77" t="s">
        <v>34</v>
      </c>
      <c r="U238" s="9" t="s">
        <v>35</v>
      </c>
      <c r="V238" s="9"/>
      <c r="W238" s="9"/>
      <c r="X238" s="9"/>
      <c r="Y238" s="85"/>
      <c r="Z238" s="85"/>
      <c r="AA238" s="85"/>
      <c r="AB238" s="85"/>
    </row>
    <row r="239" spans="1:28" hidden="1">
      <c r="A239" s="5" t="s">
        <v>911</v>
      </c>
      <c r="B239" s="6" t="s">
        <v>912</v>
      </c>
      <c r="C239" s="6" t="s">
        <v>26</v>
      </c>
      <c r="D239" s="6" t="s">
        <v>913</v>
      </c>
      <c r="E239" s="6" t="s">
        <v>666</v>
      </c>
      <c r="F239" s="7">
        <v>45902</v>
      </c>
      <c r="G239" s="74"/>
      <c r="H239" s="74">
        <v>45943</v>
      </c>
      <c r="I239" s="74">
        <v>45943</v>
      </c>
      <c r="J239" s="83">
        <f ca="1">NETWORKDAYS(F239,TODAY())</f>
        <v>156</v>
      </c>
      <c r="K239" s="82" t="str">
        <f ca="1">IF(J239&lt;30,"Menor a 30 días",IF(J239&lt;60,"Entre 30 y 60 días","Mayor a 60 días"))</f>
        <v>Mayor a 60 días</v>
      </c>
      <c r="L239" s="77" t="s">
        <v>30</v>
      </c>
      <c r="M239" s="77" t="s">
        <v>30</v>
      </c>
      <c r="N239" s="77" t="s">
        <v>30</v>
      </c>
      <c r="O239" s="77" t="s">
        <v>30</v>
      </c>
      <c r="P239" s="77" t="s">
        <v>30</v>
      </c>
      <c r="Q239" s="77" t="s">
        <v>30</v>
      </c>
      <c r="R239" s="77" t="s">
        <v>30</v>
      </c>
      <c r="S239" s="77" t="s">
        <v>30</v>
      </c>
      <c r="T239" s="77" t="s">
        <v>34</v>
      </c>
      <c r="U239" s="9" t="s">
        <v>35</v>
      </c>
      <c r="V239" s="9"/>
      <c r="W239" s="9"/>
      <c r="X239" s="9"/>
      <c r="Y239" s="85"/>
      <c r="Z239" s="85"/>
      <c r="AA239" s="85"/>
      <c r="AB239" s="85"/>
    </row>
    <row r="240" spans="1:28" hidden="1">
      <c r="A240" s="5" t="s">
        <v>914</v>
      </c>
      <c r="B240" s="6" t="s">
        <v>915</v>
      </c>
      <c r="C240" s="6" t="s">
        <v>26</v>
      </c>
      <c r="D240" s="6" t="s">
        <v>916</v>
      </c>
      <c r="E240" s="6" t="s">
        <v>917</v>
      </c>
      <c r="F240" s="7">
        <v>45947</v>
      </c>
      <c r="G240" s="74">
        <v>45968</v>
      </c>
      <c r="H240" s="74">
        <v>45953</v>
      </c>
      <c r="I240" s="74">
        <v>45954</v>
      </c>
      <c r="J240" s="83">
        <f ca="1">NETWORKDAYS(F240,TODAY())</f>
        <v>123</v>
      </c>
      <c r="K240" s="82" t="str">
        <f ca="1">IF(J240&lt;30,"Menor a 30 días",IF(J240&lt;60,"Entre 30 y 60 días","Mayor a 60 días"))</f>
        <v>Mayor a 60 días</v>
      </c>
      <c r="L240" s="77" t="s">
        <v>30</v>
      </c>
      <c r="M240" s="77" t="s">
        <v>30</v>
      </c>
      <c r="N240" s="77" t="s">
        <v>30</v>
      </c>
      <c r="O240" s="77" t="s">
        <v>30</v>
      </c>
      <c r="P240" s="77" t="s">
        <v>30</v>
      </c>
      <c r="Q240" s="77" t="s">
        <v>30</v>
      </c>
      <c r="R240" s="77" t="s">
        <v>30</v>
      </c>
      <c r="S240" s="77" t="s">
        <v>30</v>
      </c>
      <c r="T240" s="77" t="s">
        <v>34</v>
      </c>
      <c r="U240" s="9" t="s">
        <v>35</v>
      </c>
      <c r="V240" s="9"/>
      <c r="W240" s="9"/>
      <c r="X240" s="9"/>
      <c r="Y240" s="85"/>
      <c r="Z240" s="85"/>
      <c r="AA240" s="85"/>
      <c r="AB240" s="85"/>
    </row>
    <row r="241" spans="1:28" hidden="1">
      <c r="A241" s="5" t="s">
        <v>918</v>
      </c>
      <c r="B241" s="6" t="s">
        <v>919</v>
      </c>
      <c r="C241" s="6" t="s">
        <v>26</v>
      </c>
      <c r="D241" s="6" t="s">
        <v>920</v>
      </c>
      <c r="E241" s="6" t="s">
        <v>921</v>
      </c>
      <c r="F241" s="7">
        <v>45951</v>
      </c>
      <c r="G241" s="74">
        <v>45954</v>
      </c>
      <c r="H241" s="74">
        <v>45957</v>
      </c>
      <c r="I241" s="74">
        <v>45957</v>
      </c>
      <c r="J241" s="83">
        <f ca="1">NETWORKDAYS(F241,TODAY())</f>
        <v>121</v>
      </c>
      <c r="K241" s="82" t="str">
        <f ca="1">IF(J241&lt;30,"Menor a 30 días",IF(J241&lt;60,"Entre 30 y 60 días","Mayor a 60 días"))</f>
        <v>Mayor a 60 días</v>
      </c>
      <c r="L241" s="77" t="s">
        <v>30</v>
      </c>
      <c r="M241" s="77" t="s">
        <v>30</v>
      </c>
      <c r="N241" s="77" t="s">
        <v>30</v>
      </c>
      <c r="O241" s="77" t="s">
        <v>30</v>
      </c>
      <c r="P241" s="77" t="s">
        <v>30</v>
      </c>
      <c r="Q241" s="77" t="s">
        <v>30</v>
      </c>
      <c r="R241" s="77" t="s">
        <v>30</v>
      </c>
      <c r="S241" s="77" t="s">
        <v>30</v>
      </c>
      <c r="T241" s="77" t="s">
        <v>34</v>
      </c>
      <c r="U241" s="9" t="s">
        <v>35</v>
      </c>
      <c r="V241" s="9"/>
      <c r="W241" s="9"/>
      <c r="X241" s="9"/>
      <c r="Y241" s="85"/>
      <c r="Z241" s="85"/>
      <c r="AA241" s="85"/>
      <c r="AB241" s="85"/>
    </row>
    <row r="242" spans="1:28" ht="23.25" hidden="1">
      <c r="A242" s="5" t="s">
        <v>922</v>
      </c>
      <c r="B242" s="6" t="s">
        <v>923</v>
      </c>
      <c r="C242" s="6" t="s">
        <v>898</v>
      </c>
      <c r="D242" s="6" t="s">
        <v>924</v>
      </c>
      <c r="E242" s="6" t="s">
        <v>925</v>
      </c>
      <c r="F242" s="7">
        <v>45951</v>
      </c>
      <c r="G242" s="74">
        <v>45979</v>
      </c>
      <c r="H242" s="74">
        <v>45957</v>
      </c>
      <c r="I242" s="74">
        <v>45958</v>
      </c>
      <c r="J242" s="83">
        <f ca="1">NETWORKDAYS(F242,TODAY())</f>
        <v>121</v>
      </c>
      <c r="K242" s="82" t="str">
        <f ca="1">IF(J242&lt;30,"Menor a 30 días",IF(J242&lt;60,"Entre 30 y 60 días","Mayor a 60 días"))</f>
        <v>Mayor a 60 días</v>
      </c>
      <c r="L242" s="77" t="s">
        <v>29</v>
      </c>
      <c r="M242" s="77" t="s">
        <v>30</v>
      </c>
      <c r="N242" s="77" t="s">
        <v>30</v>
      </c>
      <c r="O242" s="77" t="s">
        <v>31</v>
      </c>
      <c r="P242" s="77" t="s">
        <v>29</v>
      </c>
      <c r="Q242" s="77" t="s">
        <v>32</v>
      </c>
      <c r="R242" s="77" t="s">
        <v>30</v>
      </c>
      <c r="S242" s="77" t="s">
        <v>30</v>
      </c>
      <c r="T242" s="77" t="s">
        <v>34</v>
      </c>
      <c r="U242" s="9" t="s">
        <v>35</v>
      </c>
      <c r="V242" s="9"/>
      <c r="W242" s="9"/>
      <c r="X242" s="9"/>
      <c r="Y242" s="85"/>
      <c r="Z242" s="85"/>
      <c r="AA242" s="85"/>
      <c r="AB242" s="85"/>
    </row>
    <row r="243" spans="1:28" ht="30.75">
      <c r="A243" s="5" t="s">
        <v>926</v>
      </c>
      <c r="B243" s="6" t="s">
        <v>927</v>
      </c>
      <c r="C243" s="6" t="s">
        <v>898</v>
      </c>
      <c r="D243" s="198" t="s">
        <v>54</v>
      </c>
      <c r="E243" s="6" t="s">
        <v>928</v>
      </c>
      <c r="F243" s="7">
        <v>45957</v>
      </c>
      <c r="G243" s="74">
        <v>45985</v>
      </c>
      <c r="H243" s="74"/>
      <c r="I243" s="74"/>
      <c r="J243" s="83">
        <f ca="1">NETWORKDAYS(F243,TODAY())</f>
        <v>117</v>
      </c>
      <c r="K243" s="82" t="str">
        <f ca="1">IF(J243&lt;30,"Menor a 30 días",IF(J243&lt;60,"Entre 30 y 60 días","Mayor a 60 días"))</f>
        <v>Mayor a 60 días</v>
      </c>
      <c r="L243" s="77" t="s">
        <v>29</v>
      </c>
      <c r="M243" s="77" t="s">
        <v>30</v>
      </c>
      <c r="N243" s="77" t="s">
        <v>30</v>
      </c>
      <c r="O243" s="77" t="s">
        <v>31</v>
      </c>
      <c r="P243" s="77" t="s">
        <v>93</v>
      </c>
      <c r="Q243" s="77" t="s">
        <v>239</v>
      </c>
      <c r="R243" s="77" t="s">
        <v>30</v>
      </c>
      <c r="S243" s="77" t="s">
        <v>119</v>
      </c>
      <c r="T243" s="77" t="s">
        <v>93</v>
      </c>
      <c r="U243" s="9" t="s">
        <v>93</v>
      </c>
      <c r="V243" s="9" t="s">
        <v>36</v>
      </c>
      <c r="W243" s="9" t="s">
        <v>1</v>
      </c>
      <c r="X243" s="9"/>
      <c r="Y243" s="85"/>
      <c r="Z243" s="85"/>
      <c r="AA243" s="85"/>
      <c r="AB243" s="85"/>
    </row>
    <row r="244" spans="1:28" hidden="1">
      <c r="A244" s="5" t="s">
        <v>929</v>
      </c>
      <c r="B244" s="6" t="s">
        <v>930</v>
      </c>
      <c r="C244" s="6" t="s">
        <v>26</v>
      </c>
      <c r="D244" s="6" t="s">
        <v>931</v>
      </c>
      <c r="E244" s="6" t="s">
        <v>932</v>
      </c>
      <c r="F244" s="7">
        <v>45961</v>
      </c>
      <c r="G244" s="74"/>
      <c r="H244" s="74">
        <v>45961</v>
      </c>
      <c r="I244" s="74">
        <v>45961</v>
      </c>
      <c r="J244" s="83">
        <f ca="1">NETWORKDAYS(F244,TODAY())</f>
        <v>113</v>
      </c>
      <c r="K244" s="82" t="str">
        <f ca="1">IF(J244&lt;30,"Menor a 30 días",IF(J244&lt;60,"Entre 30 y 60 días","Mayor a 60 días"))</f>
        <v>Mayor a 60 días</v>
      </c>
      <c r="L244" s="77" t="s">
        <v>30</v>
      </c>
      <c r="M244" s="77" t="s">
        <v>30</v>
      </c>
      <c r="N244" s="77" t="s">
        <v>30</v>
      </c>
      <c r="O244" s="77" t="s">
        <v>30</v>
      </c>
      <c r="P244" s="77" t="s">
        <v>30</v>
      </c>
      <c r="Q244" s="77" t="s">
        <v>30</v>
      </c>
      <c r="R244" s="77" t="s">
        <v>30</v>
      </c>
      <c r="S244" s="77" t="s">
        <v>30</v>
      </c>
      <c r="T244" s="77" t="s">
        <v>34</v>
      </c>
      <c r="U244" s="9" t="s">
        <v>35</v>
      </c>
      <c r="V244" s="9"/>
      <c r="W244" s="9"/>
      <c r="X244" s="9"/>
      <c r="Y244" s="85"/>
      <c r="Z244" s="85"/>
      <c r="AA244" s="85"/>
      <c r="AB244" s="85"/>
    </row>
    <row r="245" spans="1:28" hidden="1">
      <c r="A245" s="5" t="s">
        <v>933</v>
      </c>
      <c r="B245" s="6" t="s">
        <v>934</v>
      </c>
      <c r="C245" s="6" t="s">
        <v>26</v>
      </c>
      <c r="D245" s="6" t="s">
        <v>935</v>
      </c>
      <c r="E245" s="6" t="s">
        <v>936</v>
      </c>
      <c r="F245" s="7">
        <v>45965</v>
      </c>
      <c r="G245" s="74"/>
      <c r="H245" s="74">
        <v>45965</v>
      </c>
      <c r="I245" s="74">
        <v>45965</v>
      </c>
      <c r="J245" s="83">
        <f ca="1">NETWORKDAYS(F245,TODAY())</f>
        <v>111</v>
      </c>
      <c r="K245" s="82" t="str">
        <f ca="1">IF(J245&lt;30,"Menor a 30 días",IF(J245&lt;60,"Entre 30 y 60 días","Mayor a 60 días"))</f>
        <v>Mayor a 60 días</v>
      </c>
      <c r="L245" s="77" t="s">
        <v>30</v>
      </c>
      <c r="M245" s="77" t="s">
        <v>30</v>
      </c>
      <c r="N245" s="77" t="s">
        <v>30</v>
      </c>
      <c r="O245" s="77" t="s">
        <v>30</v>
      </c>
      <c r="P245" s="77" t="s">
        <v>30</v>
      </c>
      <c r="Q245" s="77" t="s">
        <v>30</v>
      </c>
      <c r="R245" s="77" t="s">
        <v>30</v>
      </c>
      <c r="S245" s="77" t="s">
        <v>30</v>
      </c>
      <c r="T245" s="77" t="s">
        <v>34</v>
      </c>
      <c r="U245" s="9" t="s">
        <v>35</v>
      </c>
      <c r="V245" s="9"/>
      <c r="W245" s="9"/>
      <c r="X245" s="9"/>
      <c r="Y245" s="85"/>
      <c r="Z245" s="85"/>
      <c r="AA245" s="85"/>
      <c r="AB245" s="85"/>
    </row>
    <row r="246" spans="1:28" ht="20.25" hidden="1">
      <c r="A246" s="5" t="s">
        <v>937</v>
      </c>
      <c r="B246" s="6" t="s">
        <v>938</v>
      </c>
      <c r="C246" s="6" t="s">
        <v>26</v>
      </c>
      <c r="D246" s="6" t="s">
        <v>939</v>
      </c>
      <c r="E246" s="6" t="s">
        <v>940</v>
      </c>
      <c r="F246" s="7">
        <v>45965</v>
      </c>
      <c r="G246" s="74"/>
      <c r="H246" s="74">
        <v>45995</v>
      </c>
      <c r="I246" s="74"/>
      <c r="J246" s="83">
        <f ca="1">NETWORKDAYS(F246,TODAY())</f>
        <v>111</v>
      </c>
      <c r="K246" s="82" t="str">
        <f ca="1">IF(J246&lt;30,"Menor a 30 días",IF(J246&lt;60,"Entre 30 y 60 días","Mayor a 60 días"))</f>
        <v>Mayor a 60 días</v>
      </c>
      <c r="L246" s="77" t="s">
        <v>29</v>
      </c>
      <c r="M246" s="77" t="s">
        <v>30</v>
      </c>
      <c r="N246" s="77" t="s">
        <v>30</v>
      </c>
      <c r="O246" s="77" t="s">
        <v>31</v>
      </c>
      <c r="P246" s="77" t="s">
        <v>29</v>
      </c>
      <c r="Q246" s="77" t="s">
        <v>32</v>
      </c>
      <c r="R246" s="77" t="s">
        <v>30</v>
      </c>
      <c r="S246" s="77" t="s">
        <v>490</v>
      </c>
      <c r="T246" s="77" t="s">
        <v>34</v>
      </c>
      <c r="U246" s="9" t="s">
        <v>35</v>
      </c>
      <c r="V246" s="9"/>
      <c r="W246" s="9"/>
      <c r="X246" s="9"/>
      <c r="Y246" s="85"/>
      <c r="Z246" s="85"/>
      <c r="AA246" s="85"/>
      <c r="AB246" s="85"/>
    </row>
    <row r="247" spans="1:28" ht="20.25" hidden="1">
      <c r="A247" s="5" t="s">
        <v>941</v>
      </c>
      <c r="B247" s="6" t="s">
        <v>942</v>
      </c>
      <c r="C247" s="6" t="s">
        <v>26</v>
      </c>
      <c r="D247" s="6" t="s">
        <v>943</v>
      </c>
      <c r="E247" s="6" t="s">
        <v>944</v>
      </c>
      <c r="F247" s="7">
        <v>45965</v>
      </c>
      <c r="G247" s="74"/>
      <c r="H247" s="74">
        <v>46014</v>
      </c>
      <c r="I247" s="74"/>
      <c r="J247" s="83">
        <f ca="1">NETWORKDAYS(F247,TODAY())</f>
        <v>111</v>
      </c>
      <c r="K247" s="82" t="str">
        <f ca="1">IF(J247&lt;30,"Menor a 30 días",IF(J247&lt;60,"Entre 30 y 60 días","Mayor a 60 días"))</f>
        <v>Mayor a 60 días</v>
      </c>
      <c r="L247" s="77" t="s">
        <v>29</v>
      </c>
      <c r="M247" s="77" t="s">
        <v>30</v>
      </c>
      <c r="N247" s="77" t="s">
        <v>30</v>
      </c>
      <c r="O247" s="77" t="s">
        <v>31</v>
      </c>
      <c r="P247" s="77" t="s">
        <v>29</v>
      </c>
      <c r="Q247" s="77" t="s">
        <v>32</v>
      </c>
      <c r="R247" s="77" t="s">
        <v>30</v>
      </c>
      <c r="S247" s="77" t="s">
        <v>490</v>
      </c>
      <c r="T247" s="77" t="s">
        <v>34</v>
      </c>
      <c r="U247" s="9" t="s">
        <v>35</v>
      </c>
      <c r="V247" s="9"/>
      <c r="W247" s="9"/>
      <c r="X247" s="9"/>
      <c r="Y247" s="85"/>
      <c r="Z247" s="85"/>
      <c r="AA247" s="85"/>
      <c r="AB247" s="85"/>
    </row>
    <row r="248" spans="1:28" ht="23.25" hidden="1">
      <c r="A248" s="5" t="s">
        <v>945</v>
      </c>
      <c r="B248" s="6" t="s">
        <v>946</v>
      </c>
      <c r="C248" s="6" t="s">
        <v>898</v>
      </c>
      <c r="D248" s="6" t="s">
        <v>947</v>
      </c>
      <c r="E248" s="6" t="s">
        <v>948</v>
      </c>
      <c r="F248" s="7">
        <v>45965</v>
      </c>
      <c r="G248" s="74">
        <v>45991</v>
      </c>
      <c r="H248" s="74">
        <v>46051</v>
      </c>
      <c r="I248" s="74">
        <v>46056</v>
      </c>
      <c r="J248" s="83">
        <f ca="1">NETWORKDAYS(F248,TODAY())</f>
        <v>111</v>
      </c>
      <c r="K248" s="82" t="str">
        <f ca="1">IF(J248&lt;30,"Menor a 30 días",IF(J248&lt;60,"Entre 30 y 60 días","Mayor a 60 días"))</f>
        <v>Mayor a 60 días</v>
      </c>
      <c r="L248" s="77" t="s">
        <v>29</v>
      </c>
      <c r="M248" s="77" t="s">
        <v>30</v>
      </c>
      <c r="N248" s="77" t="s">
        <v>30</v>
      </c>
      <c r="O248" s="77" t="s">
        <v>31</v>
      </c>
      <c r="P248" s="77" t="s">
        <v>29</v>
      </c>
      <c r="Q248" s="77" t="s">
        <v>32</v>
      </c>
      <c r="R248" s="77" t="s">
        <v>48</v>
      </c>
      <c r="S248" s="77" t="s">
        <v>33</v>
      </c>
      <c r="T248" s="77" t="s">
        <v>34</v>
      </c>
      <c r="U248" s="9" t="s">
        <v>35</v>
      </c>
      <c r="V248" s="9"/>
      <c r="W248" s="9"/>
      <c r="X248" s="9"/>
      <c r="Y248" s="85"/>
      <c r="Z248" s="85"/>
      <c r="AA248" s="85"/>
      <c r="AB248" s="85"/>
    </row>
    <row r="249" spans="1:28" hidden="1">
      <c r="A249" s="5" t="s">
        <v>949</v>
      </c>
      <c r="B249" s="6" t="s">
        <v>950</v>
      </c>
      <c r="C249" s="6" t="s">
        <v>26</v>
      </c>
      <c r="D249" s="6" t="s">
        <v>556</v>
      </c>
      <c r="E249" s="6" t="s">
        <v>951</v>
      </c>
      <c r="F249" s="7">
        <v>45932</v>
      </c>
      <c r="G249" s="74">
        <v>45961</v>
      </c>
      <c r="H249" s="74">
        <v>45979</v>
      </c>
      <c r="I249" s="74"/>
      <c r="J249" s="83">
        <f ca="1">NETWORKDAYS(F249,TODAY())</f>
        <v>134</v>
      </c>
      <c r="K249" s="82" t="str">
        <f ca="1">IF(J249&lt;30,"Menor a 30 días",IF(J249&lt;60,"Entre 30 y 60 días","Mayor a 60 días"))</f>
        <v>Mayor a 60 días</v>
      </c>
      <c r="L249" s="77" t="s">
        <v>29</v>
      </c>
      <c r="M249" s="77" t="s">
        <v>29</v>
      </c>
      <c r="N249" s="77" t="s">
        <v>30</v>
      </c>
      <c r="O249" s="77" t="s">
        <v>31</v>
      </c>
      <c r="P249" s="77" t="s">
        <v>29</v>
      </c>
      <c r="Q249" s="77" t="s">
        <v>32</v>
      </c>
      <c r="R249" s="77" t="s">
        <v>30</v>
      </c>
      <c r="S249" s="77" t="s">
        <v>33</v>
      </c>
      <c r="T249" s="77" t="s">
        <v>34</v>
      </c>
      <c r="U249" s="9" t="s">
        <v>35</v>
      </c>
      <c r="V249" s="9"/>
      <c r="W249" s="9"/>
      <c r="X249" s="9"/>
      <c r="Y249" s="85"/>
      <c r="Z249" s="85"/>
      <c r="AA249" s="85"/>
      <c r="AB249" s="85"/>
    </row>
    <row r="250" spans="1:28" hidden="1">
      <c r="A250" s="5" t="s">
        <v>952</v>
      </c>
      <c r="B250" s="6" t="s">
        <v>582</v>
      </c>
      <c r="C250" s="6" t="s">
        <v>26</v>
      </c>
      <c r="D250" s="6" t="s">
        <v>953</v>
      </c>
      <c r="E250" s="6" t="s">
        <v>954</v>
      </c>
      <c r="F250" s="7">
        <v>45968</v>
      </c>
      <c r="G250" s="74">
        <v>45975</v>
      </c>
      <c r="H250" s="74">
        <v>45972</v>
      </c>
      <c r="I250" s="74">
        <v>45972</v>
      </c>
      <c r="J250" s="83">
        <f ca="1">NETWORKDAYS(F250,TODAY())</f>
        <v>108</v>
      </c>
      <c r="K250" s="82" t="str">
        <f ca="1">IF(J250&lt;30,"Menor a 30 días",IF(J250&lt;60,"Entre 30 y 60 días","Mayor a 60 días"))</f>
        <v>Mayor a 60 días</v>
      </c>
      <c r="L250" s="77" t="s">
        <v>30</v>
      </c>
      <c r="M250" s="77" t="s">
        <v>30</v>
      </c>
      <c r="N250" s="77" t="s">
        <v>30</v>
      </c>
      <c r="O250" s="77" t="s">
        <v>30</v>
      </c>
      <c r="P250" s="77" t="s">
        <v>30</v>
      </c>
      <c r="Q250" s="77" t="s">
        <v>30</v>
      </c>
      <c r="R250" s="77" t="s">
        <v>48</v>
      </c>
      <c r="S250" s="77" t="s">
        <v>30</v>
      </c>
      <c r="T250" s="77" t="s">
        <v>34</v>
      </c>
      <c r="U250" s="9" t="s">
        <v>35</v>
      </c>
      <c r="V250" s="9"/>
      <c r="W250" s="9"/>
      <c r="X250" s="9"/>
      <c r="Y250" s="85"/>
      <c r="Z250" s="85"/>
      <c r="AA250" s="85"/>
      <c r="AB250" s="85"/>
    </row>
    <row r="251" spans="1:28" ht="20.25" hidden="1">
      <c r="A251" s="5" t="s">
        <v>955</v>
      </c>
      <c r="B251" s="6" t="s">
        <v>956</v>
      </c>
      <c r="C251" s="6" t="s">
        <v>26</v>
      </c>
      <c r="D251" s="6" t="s">
        <v>775</v>
      </c>
      <c r="E251" s="6" t="s">
        <v>957</v>
      </c>
      <c r="F251" s="7">
        <v>45972</v>
      </c>
      <c r="G251" s="74">
        <v>45996</v>
      </c>
      <c r="H251" s="74">
        <v>46014</v>
      </c>
      <c r="I251" s="74"/>
      <c r="J251" s="83">
        <f ca="1">NETWORKDAYS(F251,TODAY())</f>
        <v>106</v>
      </c>
      <c r="K251" s="82" t="str">
        <f ca="1">IF(J251&lt;30,"Menor a 30 días",IF(J251&lt;60,"Entre 30 y 60 días","Mayor a 60 días"))</f>
        <v>Mayor a 60 días</v>
      </c>
      <c r="L251" s="77" t="s">
        <v>29</v>
      </c>
      <c r="M251" s="77" t="s">
        <v>30</v>
      </c>
      <c r="N251" s="77" t="s">
        <v>30</v>
      </c>
      <c r="O251" s="77" t="s">
        <v>31</v>
      </c>
      <c r="P251" s="77" t="s">
        <v>29</v>
      </c>
      <c r="Q251" s="77" t="s">
        <v>32</v>
      </c>
      <c r="R251" s="77" t="s">
        <v>30</v>
      </c>
      <c r="S251" s="77" t="s">
        <v>490</v>
      </c>
      <c r="T251" s="77" t="s">
        <v>34</v>
      </c>
      <c r="U251" s="9" t="s">
        <v>35</v>
      </c>
      <c r="V251" s="9"/>
      <c r="W251" s="9"/>
      <c r="X251" s="9"/>
      <c r="Y251" s="85"/>
      <c r="Z251" s="85"/>
      <c r="AA251" s="85"/>
      <c r="AB251" s="85"/>
    </row>
    <row r="252" spans="1:28" hidden="1">
      <c r="A252" s="5" t="s">
        <v>958</v>
      </c>
      <c r="B252" s="6" t="s">
        <v>959</v>
      </c>
      <c r="C252" s="6" t="s">
        <v>26</v>
      </c>
      <c r="D252" s="6" t="s">
        <v>960</v>
      </c>
      <c r="E252" s="6" t="s">
        <v>961</v>
      </c>
      <c r="F252" s="7">
        <v>45972</v>
      </c>
      <c r="G252" s="74"/>
      <c r="H252" s="74">
        <v>46052</v>
      </c>
      <c r="I252" s="74"/>
      <c r="J252" s="83">
        <f ca="1">NETWORKDAYS(F252,TODAY())</f>
        <v>106</v>
      </c>
      <c r="K252" s="82" t="str">
        <f ca="1">IF(J252&lt;30,"Menor a 30 días",IF(J252&lt;60,"Entre 30 y 60 días","Mayor a 60 días"))</f>
        <v>Mayor a 60 días</v>
      </c>
      <c r="L252" s="77" t="s">
        <v>176</v>
      </c>
      <c r="M252" s="77" t="s">
        <v>30</v>
      </c>
      <c r="N252" s="77" t="s">
        <v>30</v>
      </c>
      <c r="O252" s="77" t="s">
        <v>31</v>
      </c>
      <c r="P252" s="77" t="s">
        <v>29</v>
      </c>
      <c r="Q252" s="77" t="s">
        <v>30</v>
      </c>
      <c r="R252" s="77" t="s">
        <v>30</v>
      </c>
      <c r="S252" s="77" t="s">
        <v>30</v>
      </c>
      <c r="T252" s="77" t="s">
        <v>34</v>
      </c>
      <c r="U252" s="9" t="s">
        <v>35</v>
      </c>
      <c r="V252" s="9"/>
      <c r="W252" s="9"/>
      <c r="X252" s="9"/>
      <c r="Y252" s="85"/>
      <c r="Z252" s="85"/>
      <c r="AA252" s="85"/>
      <c r="AB252" s="85"/>
    </row>
    <row r="253" spans="1:28" ht="20.25" hidden="1">
      <c r="A253" s="5" t="s">
        <v>962</v>
      </c>
      <c r="B253" s="6" t="s">
        <v>834</v>
      </c>
      <c r="C253" s="6" t="s">
        <v>898</v>
      </c>
      <c r="D253" s="6" t="s">
        <v>963</v>
      </c>
      <c r="E253" s="6" t="s">
        <v>964</v>
      </c>
      <c r="F253" s="7">
        <v>45972</v>
      </c>
      <c r="G253" s="74">
        <v>45994</v>
      </c>
      <c r="H253" s="74">
        <v>45993</v>
      </c>
      <c r="I253" s="74">
        <v>46001</v>
      </c>
      <c r="J253" s="83">
        <f ca="1">NETWORKDAYS(F253,TODAY())</f>
        <v>106</v>
      </c>
      <c r="K253" s="82" t="str">
        <f ca="1">IF(J253&lt;30,"Menor a 30 días",IF(J253&lt;60,"Entre 30 y 60 días","Mayor a 60 días"))</f>
        <v>Mayor a 60 días</v>
      </c>
      <c r="L253" s="77" t="s">
        <v>30</v>
      </c>
      <c r="M253" s="77" t="s">
        <v>30</v>
      </c>
      <c r="N253" s="77" t="s">
        <v>30</v>
      </c>
      <c r="O253" s="77" t="s">
        <v>30</v>
      </c>
      <c r="P253" s="77" t="s">
        <v>30</v>
      </c>
      <c r="Q253" s="77" t="s">
        <v>30</v>
      </c>
      <c r="R253" s="77" t="s">
        <v>48</v>
      </c>
      <c r="S253" s="77" t="s">
        <v>30</v>
      </c>
      <c r="T253" s="77" t="s">
        <v>34</v>
      </c>
      <c r="U253" s="9" t="s">
        <v>35</v>
      </c>
      <c r="V253" s="9"/>
      <c r="W253" s="9"/>
      <c r="X253" s="9"/>
      <c r="Y253" s="85"/>
      <c r="Z253" s="85"/>
      <c r="AA253" s="85"/>
      <c r="AB253" s="85"/>
    </row>
    <row r="254" spans="1:28" hidden="1">
      <c r="A254" s="5" t="s">
        <v>965</v>
      </c>
      <c r="B254" s="6" t="s">
        <v>834</v>
      </c>
      <c r="C254" s="6" t="s">
        <v>898</v>
      </c>
      <c r="D254" s="6" t="s">
        <v>114</v>
      </c>
      <c r="E254" s="6" t="s">
        <v>966</v>
      </c>
      <c r="F254" s="7">
        <v>45972</v>
      </c>
      <c r="G254" s="74">
        <v>45994</v>
      </c>
      <c r="H254" s="74">
        <v>45993</v>
      </c>
      <c r="I254" s="74">
        <v>46001</v>
      </c>
      <c r="J254" s="83">
        <f ca="1">NETWORKDAYS(F254,TODAY())</f>
        <v>106</v>
      </c>
      <c r="K254" s="82" t="str">
        <f ca="1">IF(J254&lt;30,"Menor a 30 días",IF(J254&lt;60,"Entre 30 y 60 días","Mayor a 60 días"))</f>
        <v>Mayor a 60 días</v>
      </c>
      <c r="L254" s="77" t="s">
        <v>30</v>
      </c>
      <c r="M254" s="77" t="s">
        <v>30</v>
      </c>
      <c r="N254" s="77" t="s">
        <v>30</v>
      </c>
      <c r="O254" s="77" t="s">
        <v>30</v>
      </c>
      <c r="P254" s="77" t="s">
        <v>30</v>
      </c>
      <c r="Q254" s="77" t="s">
        <v>30</v>
      </c>
      <c r="R254" s="77" t="s">
        <v>30</v>
      </c>
      <c r="S254" s="77" t="s">
        <v>30</v>
      </c>
      <c r="T254" s="77" t="s">
        <v>34</v>
      </c>
      <c r="U254" s="9" t="s">
        <v>35</v>
      </c>
      <c r="V254" s="9"/>
      <c r="W254" s="9"/>
      <c r="X254" s="9"/>
      <c r="Y254" s="85"/>
      <c r="Z254" s="85"/>
      <c r="AA254" s="85"/>
      <c r="AB254" s="85"/>
    </row>
    <row r="255" spans="1:28" ht="20.25" hidden="1">
      <c r="A255" s="5" t="s">
        <v>967</v>
      </c>
      <c r="B255" s="6" t="s">
        <v>968</v>
      </c>
      <c r="C255" s="6" t="s">
        <v>898</v>
      </c>
      <c r="D255" s="6" t="s">
        <v>969</v>
      </c>
      <c r="E255" s="6" t="s">
        <v>970</v>
      </c>
      <c r="F255" s="7">
        <v>45952</v>
      </c>
      <c r="G255" s="74">
        <v>45982</v>
      </c>
      <c r="H255" s="74">
        <v>45982</v>
      </c>
      <c r="I255" s="74">
        <v>45982</v>
      </c>
      <c r="J255" s="83">
        <f ca="1">NETWORKDAYS(F255,TODAY())</f>
        <v>120</v>
      </c>
      <c r="K255" s="82" t="str">
        <f ca="1">IF(J255&lt;30,"Menor a 30 días",IF(J255&lt;60,"Entre 30 y 60 días","Mayor a 60 días"))</f>
        <v>Mayor a 60 días</v>
      </c>
      <c r="L255" s="77" t="s">
        <v>30</v>
      </c>
      <c r="M255" s="77" t="s">
        <v>30</v>
      </c>
      <c r="N255" s="77" t="s">
        <v>30</v>
      </c>
      <c r="O255" s="77" t="s">
        <v>30</v>
      </c>
      <c r="P255" s="77" t="s">
        <v>30</v>
      </c>
      <c r="Q255" s="77" t="s">
        <v>30</v>
      </c>
      <c r="R255" s="77" t="s">
        <v>48</v>
      </c>
      <c r="S255" s="77" t="s">
        <v>30</v>
      </c>
      <c r="T255" s="77" t="s">
        <v>34</v>
      </c>
      <c r="U255" s="9" t="s">
        <v>35</v>
      </c>
      <c r="V255" s="9"/>
      <c r="W255" s="9"/>
      <c r="X255" s="9"/>
      <c r="Y255" s="85"/>
      <c r="Z255" s="85"/>
      <c r="AA255" s="85"/>
      <c r="AB255" s="85"/>
    </row>
    <row r="256" spans="1:28" hidden="1">
      <c r="A256" s="5" t="s">
        <v>971</v>
      </c>
      <c r="B256" s="6" t="s">
        <v>972</v>
      </c>
      <c r="C256" s="6" t="s">
        <v>26</v>
      </c>
      <c r="D256" s="6" t="s">
        <v>583</v>
      </c>
      <c r="E256" s="6" t="s">
        <v>973</v>
      </c>
      <c r="F256" s="7">
        <v>45964</v>
      </c>
      <c r="G256" s="74">
        <v>45994</v>
      </c>
      <c r="H256" s="74">
        <v>45981</v>
      </c>
      <c r="I256" s="74"/>
      <c r="J256" s="83">
        <f ca="1">NETWORKDAYS(F256,TODAY())</f>
        <v>112</v>
      </c>
      <c r="K256" s="82" t="str">
        <f ca="1">IF(J256&lt;30,"Menor a 30 días",IF(J256&lt;60,"Entre 30 y 60 días","Mayor a 60 días"))</f>
        <v>Mayor a 60 días</v>
      </c>
      <c r="L256" s="77" t="s">
        <v>30</v>
      </c>
      <c r="M256" s="77" t="s">
        <v>30</v>
      </c>
      <c r="N256" s="77" t="s">
        <v>30</v>
      </c>
      <c r="O256" s="77" t="s">
        <v>30</v>
      </c>
      <c r="P256" s="77" t="s">
        <v>30</v>
      </c>
      <c r="Q256" s="77" t="s">
        <v>30</v>
      </c>
      <c r="R256" s="77" t="s">
        <v>30</v>
      </c>
      <c r="S256" s="77" t="s">
        <v>30</v>
      </c>
      <c r="T256" s="77" t="s">
        <v>34</v>
      </c>
      <c r="U256" s="9" t="s">
        <v>35</v>
      </c>
      <c r="V256" s="9"/>
      <c r="W256" s="9"/>
      <c r="X256" s="9"/>
      <c r="Y256" s="85"/>
      <c r="Z256" s="85"/>
      <c r="AA256" s="85"/>
      <c r="AB256" s="85"/>
    </row>
    <row r="257" spans="1:28" hidden="1">
      <c r="A257" s="5" t="s">
        <v>974</v>
      </c>
      <c r="B257" s="6" t="s">
        <v>975</v>
      </c>
      <c r="C257" s="6" t="s">
        <v>26</v>
      </c>
      <c r="D257" s="6" t="s">
        <v>976</v>
      </c>
      <c r="E257" s="6" t="s">
        <v>977</v>
      </c>
      <c r="F257" s="7">
        <v>45985</v>
      </c>
      <c r="G257" s="74"/>
      <c r="H257" s="74">
        <v>45988</v>
      </c>
      <c r="I257" s="74">
        <v>45994</v>
      </c>
      <c r="J257" s="83">
        <f ca="1">NETWORKDAYS(F257,TODAY())</f>
        <v>97</v>
      </c>
      <c r="K257" s="82" t="str">
        <f ca="1">IF(J257&lt;30,"Menor a 30 días",IF(J257&lt;60,"Entre 30 y 60 días","Mayor a 60 días"))</f>
        <v>Mayor a 60 días</v>
      </c>
      <c r="L257" s="77" t="s">
        <v>30</v>
      </c>
      <c r="M257" s="77" t="s">
        <v>30</v>
      </c>
      <c r="N257" s="77" t="s">
        <v>30</v>
      </c>
      <c r="O257" s="77" t="s">
        <v>30</v>
      </c>
      <c r="P257" s="77" t="s">
        <v>30</v>
      </c>
      <c r="Q257" s="77" t="s">
        <v>30</v>
      </c>
      <c r="R257" s="77" t="s">
        <v>30</v>
      </c>
      <c r="S257" s="77" t="s">
        <v>30</v>
      </c>
      <c r="T257" s="77" t="s">
        <v>34</v>
      </c>
      <c r="U257" s="9" t="s">
        <v>35</v>
      </c>
      <c r="V257" s="9"/>
      <c r="W257" s="9"/>
      <c r="X257" s="9"/>
      <c r="Y257" s="85"/>
      <c r="Z257" s="85"/>
      <c r="AA257" s="85"/>
      <c r="AB257" s="85"/>
    </row>
    <row r="258" spans="1:28" ht="23.25" hidden="1">
      <c r="A258" s="5" t="s">
        <v>978</v>
      </c>
      <c r="B258" s="6" t="s">
        <v>979</v>
      </c>
      <c r="C258" s="6" t="s">
        <v>898</v>
      </c>
      <c r="D258" s="6" t="s">
        <v>980</v>
      </c>
      <c r="E258" s="6" t="s">
        <v>981</v>
      </c>
      <c r="F258" s="7">
        <v>45986</v>
      </c>
      <c r="G258" s="74">
        <v>46009</v>
      </c>
      <c r="H258" s="74">
        <v>46022</v>
      </c>
      <c r="I258" s="74">
        <v>46024</v>
      </c>
      <c r="J258" s="83">
        <f ca="1">NETWORKDAYS(F258,TODAY())</f>
        <v>96</v>
      </c>
      <c r="K258" s="82" t="str">
        <f ca="1">IF(J258&lt;30,"Menor a 30 días",IF(J258&lt;60,"Entre 30 y 60 días","Mayor a 60 días"))</f>
        <v>Mayor a 60 días</v>
      </c>
      <c r="L258" s="77" t="s">
        <v>30</v>
      </c>
      <c r="M258" s="77" t="s">
        <v>30</v>
      </c>
      <c r="N258" s="77" t="s">
        <v>30</v>
      </c>
      <c r="O258" s="77" t="s">
        <v>30</v>
      </c>
      <c r="P258" s="77" t="s">
        <v>30</v>
      </c>
      <c r="Q258" s="77" t="s">
        <v>30</v>
      </c>
      <c r="R258" s="77" t="s">
        <v>48</v>
      </c>
      <c r="S258" s="77" t="s">
        <v>30</v>
      </c>
      <c r="T258" s="77" t="s">
        <v>34</v>
      </c>
      <c r="U258" s="9" t="s">
        <v>35</v>
      </c>
      <c r="V258" s="9"/>
      <c r="W258" s="9"/>
      <c r="X258" s="9"/>
      <c r="Y258" s="85"/>
      <c r="Z258" s="85"/>
      <c r="AA258" s="85"/>
      <c r="AB258" s="85"/>
    </row>
    <row r="259" spans="1:28" ht="23.25" hidden="1">
      <c r="A259" s="5" t="s">
        <v>982</v>
      </c>
      <c r="B259" s="6" t="s">
        <v>983</v>
      </c>
      <c r="C259" s="6" t="s">
        <v>898</v>
      </c>
      <c r="D259" s="6" t="s">
        <v>980</v>
      </c>
      <c r="E259" s="6" t="s">
        <v>984</v>
      </c>
      <c r="F259" s="7">
        <v>45986</v>
      </c>
      <c r="G259" s="74">
        <v>46009</v>
      </c>
      <c r="H259" s="74">
        <v>46021</v>
      </c>
      <c r="I259" s="74">
        <v>46022</v>
      </c>
      <c r="J259" s="83">
        <f ca="1">NETWORKDAYS(F259,TODAY())</f>
        <v>96</v>
      </c>
      <c r="K259" s="82" t="str">
        <f ca="1">IF(J259&lt;30,"Menor a 30 días",IF(J259&lt;60,"Entre 30 y 60 días","Mayor a 60 días"))</f>
        <v>Mayor a 60 días</v>
      </c>
      <c r="L259" s="77" t="s">
        <v>30</v>
      </c>
      <c r="M259" s="77" t="s">
        <v>30</v>
      </c>
      <c r="N259" s="77" t="s">
        <v>30</v>
      </c>
      <c r="O259" s="77" t="s">
        <v>30</v>
      </c>
      <c r="P259" s="77" t="s">
        <v>30</v>
      </c>
      <c r="Q259" s="77" t="s">
        <v>30</v>
      </c>
      <c r="R259" s="77" t="s">
        <v>48</v>
      </c>
      <c r="S259" s="77" t="s">
        <v>30</v>
      </c>
      <c r="T259" s="77" t="s">
        <v>34</v>
      </c>
      <c r="U259" s="9" t="s">
        <v>35</v>
      </c>
      <c r="V259" s="9"/>
      <c r="W259" s="9"/>
      <c r="X259" s="9"/>
      <c r="Y259" s="85"/>
      <c r="Z259" s="85"/>
      <c r="AA259" s="85"/>
      <c r="AB259" s="85"/>
    </row>
    <row r="260" spans="1:28" ht="23.25" hidden="1">
      <c r="A260" s="5" t="s">
        <v>985</v>
      </c>
      <c r="B260" s="6" t="s">
        <v>986</v>
      </c>
      <c r="C260" s="6" t="s">
        <v>898</v>
      </c>
      <c r="D260" s="6" t="s">
        <v>980</v>
      </c>
      <c r="E260" s="6" t="s">
        <v>987</v>
      </c>
      <c r="F260" s="7">
        <v>45986</v>
      </c>
      <c r="G260" s="74">
        <v>46009</v>
      </c>
      <c r="H260" s="74">
        <v>46021</v>
      </c>
      <c r="I260" s="74">
        <v>46022</v>
      </c>
      <c r="J260" s="83">
        <f ca="1">NETWORKDAYS(F260,TODAY())</f>
        <v>96</v>
      </c>
      <c r="K260" s="82" t="str">
        <f ca="1">IF(J260&lt;30,"Menor a 30 días",IF(J260&lt;60,"Entre 30 y 60 días","Mayor a 60 días"))</f>
        <v>Mayor a 60 días</v>
      </c>
      <c r="L260" s="77" t="s">
        <v>30</v>
      </c>
      <c r="M260" s="77" t="s">
        <v>30</v>
      </c>
      <c r="N260" s="77" t="s">
        <v>30</v>
      </c>
      <c r="O260" s="77" t="s">
        <v>30</v>
      </c>
      <c r="P260" s="77" t="s">
        <v>30</v>
      </c>
      <c r="Q260" s="77" t="s">
        <v>30</v>
      </c>
      <c r="R260" s="77" t="s">
        <v>48</v>
      </c>
      <c r="S260" s="77" t="s">
        <v>30</v>
      </c>
      <c r="T260" s="77" t="s">
        <v>34</v>
      </c>
      <c r="U260" s="9" t="s">
        <v>35</v>
      </c>
      <c r="V260" s="9"/>
      <c r="W260" s="9"/>
      <c r="X260" s="9"/>
      <c r="Y260" s="85"/>
      <c r="Z260" s="85"/>
      <c r="AA260" s="85"/>
      <c r="AB260" s="85"/>
    </row>
    <row r="261" spans="1:28" ht="23.25" hidden="1">
      <c r="A261" s="5" t="s">
        <v>988</v>
      </c>
      <c r="B261" s="6" t="s">
        <v>989</v>
      </c>
      <c r="C261" s="6" t="s">
        <v>898</v>
      </c>
      <c r="D261" s="6" t="s">
        <v>990</v>
      </c>
      <c r="E261" s="6" t="s">
        <v>991</v>
      </c>
      <c r="F261" s="7">
        <v>45986</v>
      </c>
      <c r="G261" s="74">
        <v>46009</v>
      </c>
      <c r="H261" s="74">
        <v>46041</v>
      </c>
      <c r="I261" s="74">
        <v>46042</v>
      </c>
      <c r="J261" s="83">
        <f ca="1">NETWORKDAYS(F261,TODAY())</f>
        <v>96</v>
      </c>
      <c r="K261" s="82" t="str">
        <f ca="1">IF(J261&lt;30,"Menor a 30 días",IF(J261&lt;60,"Entre 30 y 60 días","Mayor a 60 días"))</f>
        <v>Mayor a 60 días</v>
      </c>
      <c r="L261" s="77" t="s">
        <v>29</v>
      </c>
      <c r="M261" s="77" t="s">
        <v>30</v>
      </c>
      <c r="N261" s="77" t="s">
        <v>30</v>
      </c>
      <c r="O261" s="77" t="s">
        <v>31</v>
      </c>
      <c r="P261" s="77" t="s">
        <v>29</v>
      </c>
      <c r="Q261" s="77" t="s">
        <v>32</v>
      </c>
      <c r="R261" s="77" t="s">
        <v>48</v>
      </c>
      <c r="S261" s="77" t="s">
        <v>33</v>
      </c>
      <c r="T261" s="77" t="s">
        <v>34</v>
      </c>
      <c r="U261" s="9" t="s">
        <v>35</v>
      </c>
      <c r="V261" s="9"/>
      <c r="W261" s="9"/>
      <c r="X261" s="9"/>
      <c r="Y261" s="85"/>
      <c r="Z261" s="85"/>
      <c r="AA261" s="85"/>
      <c r="AB261" s="85"/>
    </row>
    <row r="262" spans="1:28" hidden="1">
      <c r="A262" s="5" t="s">
        <v>992</v>
      </c>
      <c r="B262" s="6" t="s">
        <v>975</v>
      </c>
      <c r="C262" s="6" t="s">
        <v>26</v>
      </c>
      <c r="D262" s="6" t="s">
        <v>993</v>
      </c>
      <c r="E262" s="6" t="s">
        <v>994</v>
      </c>
      <c r="F262" s="7">
        <v>45985</v>
      </c>
      <c r="G262" s="74"/>
      <c r="H262" s="74">
        <v>45988</v>
      </c>
      <c r="I262" s="74">
        <v>45992</v>
      </c>
      <c r="J262" s="83">
        <f ca="1">NETWORKDAYS(F262,TODAY())</f>
        <v>97</v>
      </c>
      <c r="K262" s="82" t="str">
        <f ca="1">IF(J262&lt;30,"Menor a 30 días",IF(J262&lt;60,"Entre 30 y 60 días","Mayor a 60 días"))</f>
        <v>Mayor a 60 días</v>
      </c>
      <c r="L262" s="77" t="s">
        <v>30</v>
      </c>
      <c r="M262" s="77" t="s">
        <v>30</v>
      </c>
      <c r="N262" s="77" t="s">
        <v>30</v>
      </c>
      <c r="O262" s="77" t="s">
        <v>30</v>
      </c>
      <c r="P262" s="77" t="s">
        <v>30</v>
      </c>
      <c r="Q262" s="77" t="s">
        <v>30</v>
      </c>
      <c r="R262" s="77" t="s">
        <v>30</v>
      </c>
      <c r="S262" s="77" t="s">
        <v>30</v>
      </c>
      <c r="T262" s="77" t="s">
        <v>34</v>
      </c>
      <c r="U262" s="9" t="s">
        <v>35</v>
      </c>
      <c r="V262" s="9"/>
      <c r="W262" s="9"/>
      <c r="X262" s="9"/>
      <c r="Y262" s="85"/>
      <c r="Z262" s="85"/>
      <c r="AA262" s="85"/>
      <c r="AB262" s="85"/>
    </row>
    <row r="263" spans="1:28" ht="24" hidden="1">
      <c r="A263" s="5" t="s">
        <v>995</v>
      </c>
      <c r="B263" s="6" t="s">
        <v>996</v>
      </c>
      <c r="C263" s="6" t="s">
        <v>26</v>
      </c>
      <c r="D263" s="6" t="s">
        <v>997</v>
      </c>
      <c r="E263" s="6" t="s">
        <v>998</v>
      </c>
      <c r="F263" s="7">
        <v>45995</v>
      </c>
      <c r="G263" s="74"/>
      <c r="H263" s="74">
        <v>46000</v>
      </c>
      <c r="I263" s="74"/>
      <c r="J263" s="83">
        <f ca="1">NETWORKDAYS(F263,TODAY())</f>
        <v>89</v>
      </c>
      <c r="K263" s="82" t="str">
        <f ca="1">IF(J263&lt;30,"Menor a 30 días",IF(J263&lt;60,"Entre 30 y 60 días","Mayor a 60 días"))</f>
        <v>Mayor a 60 días</v>
      </c>
      <c r="L263" s="77" t="s">
        <v>29</v>
      </c>
      <c r="M263" s="77" t="s">
        <v>30</v>
      </c>
      <c r="N263" s="77" t="s">
        <v>30</v>
      </c>
      <c r="O263" s="77" t="s">
        <v>30</v>
      </c>
      <c r="P263" s="77" t="s">
        <v>30</v>
      </c>
      <c r="Q263" s="77" t="s">
        <v>30</v>
      </c>
      <c r="R263" s="77" t="s">
        <v>30</v>
      </c>
      <c r="S263" s="77" t="s">
        <v>30</v>
      </c>
      <c r="T263" s="77" t="s">
        <v>34</v>
      </c>
      <c r="U263" s="9" t="s">
        <v>35</v>
      </c>
      <c r="V263" s="9"/>
      <c r="W263" s="9"/>
      <c r="X263" s="9"/>
      <c r="Y263" s="85"/>
      <c r="Z263" s="85"/>
      <c r="AA263" s="85"/>
      <c r="AB263" s="85"/>
    </row>
    <row r="264" spans="1:28" ht="24" hidden="1">
      <c r="A264" s="5" t="s">
        <v>999</v>
      </c>
      <c r="B264" s="6" t="s">
        <v>1000</v>
      </c>
      <c r="C264" s="6" t="s">
        <v>26</v>
      </c>
      <c r="D264" s="6" t="s">
        <v>1001</v>
      </c>
      <c r="E264" s="6" t="s">
        <v>1002</v>
      </c>
      <c r="F264" s="7">
        <v>45999</v>
      </c>
      <c r="G264" s="74"/>
      <c r="H264" s="74"/>
      <c r="I264" s="74"/>
      <c r="J264" s="83">
        <f ca="1">NETWORKDAYS(F264,TODAY())</f>
        <v>87</v>
      </c>
      <c r="K264" s="82" t="str">
        <f ca="1">IF(J264&lt;30,"Menor a 30 días",IF(J264&lt;60,"Entre 30 y 60 días","Mayor a 60 días"))</f>
        <v>Mayor a 60 días</v>
      </c>
      <c r="L264" s="77" t="s">
        <v>30</v>
      </c>
      <c r="M264" s="77" t="s">
        <v>30</v>
      </c>
      <c r="N264" s="77" t="s">
        <v>30</v>
      </c>
      <c r="O264" s="77" t="s">
        <v>30</v>
      </c>
      <c r="P264" s="77" t="s">
        <v>30</v>
      </c>
      <c r="Q264" s="77" t="s">
        <v>30</v>
      </c>
      <c r="R264" s="77" t="s">
        <v>30</v>
      </c>
      <c r="S264" s="77" t="s">
        <v>30</v>
      </c>
      <c r="T264" s="77" t="s">
        <v>93</v>
      </c>
      <c r="U264" s="9" t="s">
        <v>93</v>
      </c>
      <c r="V264" s="9" t="s">
        <v>49</v>
      </c>
      <c r="W264" s="9" t="s">
        <v>132</v>
      </c>
      <c r="X264" s="9"/>
      <c r="Y264" s="85"/>
      <c r="Z264" s="85"/>
      <c r="AA264" s="85"/>
      <c r="AB264" s="85"/>
    </row>
    <row r="265" spans="1:28" hidden="1">
      <c r="A265" s="5" t="s">
        <v>1003</v>
      </c>
      <c r="B265" s="6" t="s">
        <v>1004</v>
      </c>
      <c r="C265" s="6" t="s">
        <v>26</v>
      </c>
      <c r="D265" s="6" t="s">
        <v>1005</v>
      </c>
      <c r="E265" s="6" t="s">
        <v>776</v>
      </c>
      <c r="F265" s="7">
        <v>45999</v>
      </c>
      <c r="G265" s="74"/>
      <c r="H265" s="74">
        <v>46002</v>
      </c>
      <c r="I265" s="74"/>
      <c r="J265" s="83">
        <f ca="1">NETWORKDAYS(F265,TODAY())</f>
        <v>87</v>
      </c>
      <c r="K265" s="82" t="str">
        <f ca="1">IF(J265&lt;30,"Menor a 30 días",IF(J265&lt;60,"Entre 30 y 60 días","Mayor a 60 días"))</f>
        <v>Mayor a 60 días</v>
      </c>
      <c r="L265" s="77" t="s">
        <v>30</v>
      </c>
      <c r="M265" s="77" t="s">
        <v>30</v>
      </c>
      <c r="N265" s="77" t="s">
        <v>30</v>
      </c>
      <c r="O265" s="77" t="s">
        <v>30</v>
      </c>
      <c r="P265" s="77" t="s">
        <v>30</v>
      </c>
      <c r="Q265" s="77" t="s">
        <v>32</v>
      </c>
      <c r="R265" s="77" t="s">
        <v>30</v>
      </c>
      <c r="S265" s="77" t="s">
        <v>30</v>
      </c>
      <c r="T265" s="77" t="s">
        <v>34</v>
      </c>
      <c r="U265" s="9" t="s">
        <v>35</v>
      </c>
      <c r="V265" s="72"/>
      <c r="W265" s="9"/>
      <c r="X265" s="9"/>
      <c r="Y265" s="85"/>
      <c r="Z265" s="85"/>
      <c r="AA265" s="85"/>
      <c r="AB265" s="85"/>
    </row>
    <row r="266" spans="1:28" ht="20.25" hidden="1">
      <c r="A266" s="5" t="s">
        <v>1006</v>
      </c>
      <c r="B266" s="6" t="s">
        <v>1007</v>
      </c>
      <c r="C266" s="6" t="s">
        <v>898</v>
      </c>
      <c r="D266" s="6" t="s">
        <v>1008</v>
      </c>
      <c r="E266" s="6" t="s">
        <v>1009</v>
      </c>
      <c r="F266" s="7">
        <v>45999</v>
      </c>
      <c r="G266" s="199">
        <v>46030</v>
      </c>
      <c r="H266" s="74">
        <v>46080</v>
      </c>
      <c r="I266" s="74"/>
      <c r="J266" s="83">
        <f ca="1">NETWORKDAYS(F266,TODAY())</f>
        <v>87</v>
      </c>
      <c r="K266" s="82" t="str">
        <f ca="1">IF(J266&lt;30,"Menor a 30 días",IF(J266&lt;60,"Entre 30 y 60 días","Mayor a 60 días"))</f>
        <v>Mayor a 60 días</v>
      </c>
      <c r="L266" s="77" t="s">
        <v>29</v>
      </c>
      <c r="M266" s="77" t="s">
        <v>30</v>
      </c>
      <c r="N266" s="77" t="s">
        <v>30</v>
      </c>
      <c r="O266" s="77" t="s">
        <v>31</v>
      </c>
      <c r="P266" s="77" t="s">
        <v>29</v>
      </c>
      <c r="Q266" s="77" t="s">
        <v>32</v>
      </c>
      <c r="R266" s="77" t="s">
        <v>30</v>
      </c>
      <c r="S266" s="77" t="s">
        <v>33</v>
      </c>
      <c r="T266" s="77" t="s">
        <v>34</v>
      </c>
      <c r="U266" s="9" t="s">
        <v>35</v>
      </c>
      <c r="V266" s="9"/>
      <c r="W266" s="9"/>
      <c r="X266" s="9"/>
      <c r="Y266" s="85"/>
      <c r="Z266" s="85"/>
      <c r="AA266" s="85"/>
      <c r="AB266" s="85"/>
    </row>
    <row r="267" spans="1:28" hidden="1">
      <c r="A267" s="5" t="s">
        <v>1010</v>
      </c>
      <c r="B267" s="6" t="s">
        <v>1011</v>
      </c>
      <c r="C267" s="6" t="s">
        <v>26</v>
      </c>
      <c r="D267" s="6" t="s">
        <v>1012</v>
      </c>
      <c r="E267" s="6" t="s">
        <v>1013</v>
      </c>
      <c r="F267" s="7">
        <v>45989</v>
      </c>
      <c r="G267" s="74">
        <v>46022</v>
      </c>
      <c r="H267" s="74">
        <v>46002</v>
      </c>
      <c r="I267" s="74"/>
      <c r="J267" s="83">
        <f ca="1">NETWORKDAYS(F267,TODAY())</f>
        <v>93</v>
      </c>
      <c r="K267" s="82" t="str">
        <f ca="1">IF(J267&lt;30,"Menor a 30 días",IF(J267&lt;60,"Entre 30 y 60 días","Mayor a 60 días"))</f>
        <v>Mayor a 60 días</v>
      </c>
      <c r="L267" s="77" t="s">
        <v>30</v>
      </c>
      <c r="M267" s="77" t="s">
        <v>30</v>
      </c>
      <c r="N267" s="77" t="s">
        <v>30</v>
      </c>
      <c r="O267" s="77" t="s">
        <v>30</v>
      </c>
      <c r="P267" s="77" t="s">
        <v>30</v>
      </c>
      <c r="Q267" s="77" t="s">
        <v>30</v>
      </c>
      <c r="R267" s="77" t="s">
        <v>30</v>
      </c>
      <c r="S267" s="77" t="s">
        <v>30</v>
      </c>
      <c r="T267" s="77" t="s">
        <v>34</v>
      </c>
      <c r="U267" s="9" t="s">
        <v>35</v>
      </c>
      <c r="V267" s="9"/>
      <c r="W267" s="9"/>
      <c r="X267" s="9"/>
      <c r="Y267" s="85"/>
      <c r="Z267" s="85"/>
      <c r="AA267" s="85"/>
      <c r="AB267" s="85"/>
    </row>
    <row r="268" spans="1:28" ht="20.25" hidden="1">
      <c r="A268" s="5" t="s">
        <v>1014</v>
      </c>
      <c r="B268" s="6" t="s">
        <v>1015</v>
      </c>
      <c r="C268" s="6" t="s">
        <v>26</v>
      </c>
      <c r="D268" s="6" t="s">
        <v>924</v>
      </c>
      <c r="E268" s="6" t="s">
        <v>1016</v>
      </c>
      <c r="F268" s="7">
        <v>45979</v>
      </c>
      <c r="G268" s="74">
        <v>46000</v>
      </c>
      <c r="H268" s="74">
        <v>46014</v>
      </c>
      <c r="I268" s="74">
        <v>46041</v>
      </c>
      <c r="J268" s="83">
        <f ca="1">NETWORKDAYS(F268,TODAY())</f>
        <v>101</v>
      </c>
      <c r="K268" s="82" t="str">
        <f ca="1">IF(J268&lt;30,"Menor a 30 días",IF(J268&lt;60,"Entre 30 y 60 días","Mayor a 60 días"))</f>
        <v>Mayor a 60 días</v>
      </c>
      <c r="L268" s="77" t="s">
        <v>176</v>
      </c>
      <c r="M268" s="77" t="s">
        <v>30</v>
      </c>
      <c r="N268" s="77" t="s">
        <v>30</v>
      </c>
      <c r="O268" s="77" t="s">
        <v>31</v>
      </c>
      <c r="P268" s="77" t="s">
        <v>29</v>
      </c>
      <c r="Q268" s="77" t="s">
        <v>32</v>
      </c>
      <c r="R268" s="77" t="s">
        <v>30</v>
      </c>
      <c r="S268" s="77" t="s">
        <v>33</v>
      </c>
      <c r="T268" s="77" t="s">
        <v>34</v>
      </c>
      <c r="U268" s="9" t="s">
        <v>35</v>
      </c>
      <c r="V268" s="9"/>
      <c r="W268" s="9"/>
      <c r="X268" s="9"/>
      <c r="Y268" s="85"/>
      <c r="Z268" s="85"/>
      <c r="AA268" s="85"/>
      <c r="AB268" s="85"/>
    </row>
    <row r="269" spans="1:28" ht="20.25" hidden="1">
      <c r="A269" s="5" t="s">
        <v>1017</v>
      </c>
      <c r="B269" s="6" t="s">
        <v>1018</v>
      </c>
      <c r="C269" s="6" t="s">
        <v>898</v>
      </c>
      <c r="D269" s="6" t="s">
        <v>17</v>
      </c>
      <c r="E269" s="6" t="s">
        <v>1019</v>
      </c>
      <c r="F269" s="7">
        <v>46006</v>
      </c>
      <c r="G269" s="74">
        <v>46052</v>
      </c>
      <c r="H269" s="74"/>
      <c r="I269" s="74"/>
      <c r="J269" s="83">
        <f ca="1">NETWORKDAYS(F269,TODAY())</f>
        <v>82</v>
      </c>
      <c r="K269" s="82" t="str">
        <f ca="1">IF(J269&lt;30,"Menor a 30 días",IF(J269&lt;60,"Entre 30 y 60 días","Mayor a 60 días"))</f>
        <v>Mayor a 60 días</v>
      </c>
      <c r="L269" s="77" t="s">
        <v>30</v>
      </c>
      <c r="M269" s="77" t="s">
        <v>30</v>
      </c>
      <c r="N269" s="77" t="s">
        <v>30</v>
      </c>
      <c r="O269" s="77" t="s">
        <v>30</v>
      </c>
      <c r="P269" s="77" t="s">
        <v>30</v>
      </c>
      <c r="Q269" s="77" t="s">
        <v>30</v>
      </c>
      <c r="R269" s="77" t="s">
        <v>48</v>
      </c>
      <c r="S269" s="77" t="s">
        <v>30</v>
      </c>
      <c r="T269" s="77" t="s">
        <v>34</v>
      </c>
      <c r="U269" s="9" t="s">
        <v>35</v>
      </c>
      <c r="V269" s="9" t="s">
        <v>36</v>
      </c>
      <c r="W269" s="9" t="s">
        <v>215</v>
      </c>
      <c r="X269" s="9"/>
      <c r="Y269" s="85"/>
      <c r="Z269" s="85"/>
      <c r="AA269" s="85"/>
      <c r="AB269" s="85"/>
    </row>
    <row r="270" spans="1:28" ht="34.5" hidden="1">
      <c r="A270" s="5" t="s">
        <v>1020</v>
      </c>
      <c r="B270" s="6" t="s">
        <v>1021</v>
      </c>
      <c r="C270" s="6" t="s">
        <v>898</v>
      </c>
      <c r="D270" s="6" t="s">
        <v>120</v>
      </c>
      <c r="E270" s="6"/>
      <c r="F270" s="7"/>
      <c r="G270" s="74"/>
      <c r="H270" s="74"/>
      <c r="I270" s="74"/>
      <c r="J270" s="83"/>
      <c r="K270" s="82"/>
      <c r="L270" s="77" t="s">
        <v>30</v>
      </c>
      <c r="M270" s="77" t="s">
        <v>30</v>
      </c>
      <c r="N270" s="77" t="s">
        <v>30</v>
      </c>
      <c r="O270" s="77" t="s">
        <v>30</v>
      </c>
      <c r="P270" s="77" t="s">
        <v>30</v>
      </c>
      <c r="Q270" s="77" t="s">
        <v>30</v>
      </c>
      <c r="R270" s="77" t="s">
        <v>30</v>
      </c>
      <c r="S270" s="77" t="s">
        <v>30</v>
      </c>
      <c r="T270" s="77" t="s">
        <v>200</v>
      </c>
      <c r="U270" s="9" t="s">
        <v>200</v>
      </c>
      <c r="V270" s="9"/>
      <c r="W270" s="9"/>
      <c r="X270" s="9"/>
      <c r="Y270" s="85"/>
      <c r="Z270" s="85"/>
      <c r="AA270" s="85"/>
      <c r="AB270" s="85"/>
    </row>
    <row r="271" spans="1:28" ht="24" hidden="1">
      <c r="A271" s="5" t="s">
        <v>1022</v>
      </c>
      <c r="B271" s="6" t="s">
        <v>1023</v>
      </c>
      <c r="C271" s="6" t="s">
        <v>898</v>
      </c>
      <c r="D271" s="6" t="s">
        <v>1024</v>
      </c>
      <c r="E271" s="6" t="s">
        <v>666</v>
      </c>
      <c r="F271" s="7">
        <v>46006</v>
      </c>
      <c r="G271" s="74">
        <v>46046</v>
      </c>
      <c r="H271" s="74">
        <v>46049</v>
      </c>
      <c r="I271" s="74">
        <v>46049</v>
      </c>
      <c r="J271" s="83">
        <f ca="1">NETWORKDAYS(F271,TODAY())</f>
        <v>82</v>
      </c>
      <c r="K271" s="82" t="str">
        <f ca="1">IF(J271&lt;30,"Menor a 30 días",IF(J271&lt;60,"Entre 30 y 60 días","Mayor a 60 días"))</f>
        <v>Mayor a 60 días</v>
      </c>
      <c r="L271" s="77" t="s">
        <v>30</v>
      </c>
      <c r="M271" s="77" t="s">
        <v>30</v>
      </c>
      <c r="N271" s="77" t="s">
        <v>30</v>
      </c>
      <c r="O271" s="77" t="s">
        <v>30</v>
      </c>
      <c r="P271" s="77" t="s">
        <v>30</v>
      </c>
      <c r="Q271" s="77" t="s">
        <v>30</v>
      </c>
      <c r="R271" s="77" t="s">
        <v>48</v>
      </c>
      <c r="S271" s="77" t="s">
        <v>30</v>
      </c>
      <c r="T271" s="77" t="s">
        <v>34</v>
      </c>
      <c r="U271" s="9" t="s">
        <v>35</v>
      </c>
      <c r="V271" s="9"/>
      <c r="W271" s="9"/>
      <c r="X271" s="9"/>
      <c r="Y271" s="85"/>
      <c r="Z271" s="85"/>
      <c r="AA271" s="85"/>
      <c r="AB271" s="85"/>
    </row>
    <row r="272" spans="1:28" ht="24" hidden="1">
      <c r="A272" s="5" t="s">
        <v>1025</v>
      </c>
      <c r="B272" s="6" t="s">
        <v>1026</v>
      </c>
      <c r="C272" s="6" t="s">
        <v>26</v>
      </c>
      <c r="D272" s="6" t="s">
        <v>1027</v>
      </c>
      <c r="E272" s="6" t="s">
        <v>1028</v>
      </c>
      <c r="F272" s="7">
        <v>46013</v>
      </c>
      <c r="G272" s="74">
        <v>46038</v>
      </c>
      <c r="H272" s="74">
        <v>46073</v>
      </c>
      <c r="I272" s="74"/>
      <c r="J272" s="83">
        <f ca="1">NETWORKDAYS(F272,TODAY())</f>
        <v>77</v>
      </c>
      <c r="K272" s="82" t="str">
        <f ca="1">IF(J272&lt;30,"Menor a 30 días",IF(J272&lt;60,"Entre 30 y 60 días","Mayor a 60 días"))</f>
        <v>Mayor a 60 días</v>
      </c>
      <c r="L272" s="77" t="s">
        <v>29</v>
      </c>
      <c r="M272" s="77" t="s">
        <v>30</v>
      </c>
      <c r="N272" s="77" t="s">
        <v>30</v>
      </c>
      <c r="O272" s="77" t="s">
        <v>31</v>
      </c>
      <c r="P272" s="77" t="s">
        <v>29</v>
      </c>
      <c r="Q272" s="77" t="s">
        <v>32</v>
      </c>
      <c r="R272" s="77" t="s">
        <v>30</v>
      </c>
      <c r="S272" s="77" t="s">
        <v>33</v>
      </c>
      <c r="T272" s="77" t="s">
        <v>34</v>
      </c>
      <c r="U272" s="9" t="s">
        <v>35</v>
      </c>
      <c r="V272" s="9"/>
      <c r="W272" s="9"/>
      <c r="X272" s="9"/>
      <c r="Y272" s="85"/>
      <c r="Z272" s="85"/>
      <c r="AA272" s="85"/>
      <c r="AB272" s="85"/>
    </row>
    <row r="273" spans="1:28" ht="24" hidden="1">
      <c r="A273" s="5" t="s">
        <v>1029</v>
      </c>
      <c r="B273" s="6" t="s">
        <v>1030</v>
      </c>
      <c r="C273" s="6" t="s">
        <v>26</v>
      </c>
      <c r="D273" s="6" t="s">
        <v>485</v>
      </c>
      <c r="E273" s="6" t="s">
        <v>666</v>
      </c>
      <c r="F273" s="7">
        <v>46015</v>
      </c>
      <c r="G273" s="74"/>
      <c r="H273" s="74">
        <v>46034</v>
      </c>
      <c r="I273" s="74">
        <v>46034</v>
      </c>
      <c r="J273" s="83">
        <f ca="1">NETWORKDAYS(F273,TODAY())</f>
        <v>75</v>
      </c>
      <c r="K273" s="82" t="str">
        <f ca="1">IF(J273&lt;30,"Menor a 30 días",IF(J273&lt;60,"Entre 30 y 60 días","Mayor a 60 días"))</f>
        <v>Mayor a 60 días</v>
      </c>
      <c r="L273" s="77" t="s">
        <v>29</v>
      </c>
      <c r="M273" s="77" t="s">
        <v>30</v>
      </c>
      <c r="N273" s="77" t="s">
        <v>30</v>
      </c>
      <c r="O273" s="77" t="s">
        <v>30</v>
      </c>
      <c r="P273" s="77" t="s">
        <v>30</v>
      </c>
      <c r="Q273" s="77" t="s">
        <v>30</v>
      </c>
      <c r="R273" s="77" t="s">
        <v>30</v>
      </c>
      <c r="S273" s="77" t="s">
        <v>30</v>
      </c>
      <c r="T273" s="77" t="s">
        <v>34</v>
      </c>
      <c r="U273" s="9" t="s">
        <v>35</v>
      </c>
      <c r="V273" s="9" t="s">
        <v>36</v>
      </c>
      <c r="W273" s="9" t="s">
        <v>1</v>
      </c>
      <c r="X273" s="9" t="s">
        <v>1031</v>
      </c>
      <c r="Y273" s="85"/>
      <c r="Z273" s="85"/>
      <c r="AA273" s="85"/>
      <c r="AB273" s="85"/>
    </row>
    <row r="274" spans="1:28" ht="24" hidden="1">
      <c r="A274" s="5" t="s">
        <v>1032</v>
      </c>
      <c r="B274" s="6" t="s">
        <v>1033</v>
      </c>
      <c r="C274" s="6" t="s">
        <v>898</v>
      </c>
      <c r="D274" s="6" t="s">
        <v>196</v>
      </c>
      <c r="E274" s="6" t="s">
        <v>1034</v>
      </c>
      <c r="F274" s="7">
        <v>46027</v>
      </c>
      <c r="G274" s="74"/>
      <c r="H274" s="74"/>
      <c r="I274" s="74"/>
      <c r="J274" s="83">
        <f ca="1">NETWORKDAYS(F274,TODAY())</f>
        <v>67</v>
      </c>
      <c r="K274" s="82" t="str">
        <f ca="1">IF(J274&lt;30,"Menor a 30 días",IF(J274&lt;60,"Entre 30 y 60 días","Mayor a 60 días"))</f>
        <v>Mayor a 60 días</v>
      </c>
      <c r="L274" s="77" t="s">
        <v>29</v>
      </c>
      <c r="M274" s="77" t="s">
        <v>30</v>
      </c>
      <c r="N274" s="77" t="s">
        <v>30</v>
      </c>
      <c r="O274" s="77" t="s">
        <v>30</v>
      </c>
      <c r="P274" s="77" t="s">
        <v>30</v>
      </c>
      <c r="Q274" s="77" t="s">
        <v>30</v>
      </c>
      <c r="R274" s="77" t="s">
        <v>30</v>
      </c>
      <c r="S274" s="77" t="s">
        <v>30</v>
      </c>
      <c r="T274" s="77" t="s">
        <v>34</v>
      </c>
      <c r="U274" s="9" t="s">
        <v>35</v>
      </c>
      <c r="V274" s="9"/>
      <c r="W274" s="9"/>
      <c r="X274" s="9"/>
      <c r="Y274" s="85"/>
      <c r="Z274" s="85"/>
      <c r="AA274" s="85"/>
      <c r="AB274" s="85"/>
    </row>
    <row r="275" spans="1:28" ht="23.25" hidden="1">
      <c r="A275" s="5" t="s">
        <v>1035</v>
      </c>
      <c r="B275" s="6" t="s">
        <v>1036</v>
      </c>
      <c r="C275" s="6" t="s">
        <v>26</v>
      </c>
      <c r="D275" s="6" t="s">
        <v>1037</v>
      </c>
      <c r="E275" s="6" t="s">
        <v>1038</v>
      </c>
      <c r="F275" s="7">
        <v>46028</v>
      </c>
      <c r="G275" s="74">
        <v>46048</v>
      </c>
      <c r="H275" s="74">
        <v>46113</v>
      </c>
      <c r="I275" s="74"/>
      <c r="J275" s="83">
        <f ca="1">NETWORKDAYS(F275,TODAY())</f>
        <v>66</v>
      </c>
      <c r="K275" s="82" t="str">
        <f ca="1">IF(J275&lt;30,"Menor a 30 días",IF(J275&lt;60,"Entre 30 y 60 días","Mayor a 60 días"))</f>
        <v>Mayor a 60 días</v>
      </c>
      <c r="L275" s="77" t="s">
        <v>29</v>
      </c>
      <c r="M275" s="77" t="s">
        <v>30</v>
      </c>
      <c r="N275" s="77" t="s">
        <v>30</v>
      </c>
      <c r="O275" s="77" t="s">
        <v>31</v>
      </c>
      <c r="P275" s="77" t="s">
        <v>29</v>
      </c>
      <c r="Q275" s="77" t="s">
        <v>32</v>
      </c>
      <c r="R275" s="77" t="s">
        <v>48</v>
      </c>
      <c r="S275" s="77" t="s">
        <v>33</v>
      </c>
      <c r="T275" s="77" t="s">
        <v>93</v>
      </c>
      <c r="U275" s="9" t="s">
        <v>35</v>
      </c>
      <c r="V275" s="9"/>
      <c r="W275" s="9"/>
      <c r="X275" s="9"/>
      <c r="Y275" s="85"/>
      <c r="Z275" s="85"/>
      <c r="AA275" s="85"/>
      <c r="AB275" s="85"/>
    </row>
    <row r="276" spans="1:28" ht="24" hidden="1">
      <c r="A276" s="5" t="s">
        <v>1039</v>
      </c>
      <c r="B276" s="6" t="s">
        <v>1040</v>
      </c>
      <c r="C276" s="6" t="s">
        <v>26</v>
      </c>
      <c r="D276" s="6" t="s">
        <v>1041</v>
      </c>
      <c r="E276" s="6" t="s">
        <v>1042</v>
      </c>
      <c r="F276" s="7">
        <v>46028</v>
      </c>
      <c r="G276" s="74">
        <v>46048</v>
      </c>
      <c r="H276" s="74">
        <v>46071</v>
      </c>
      <c r="I276" s="74">
        <v>46071</v>
      </c>
      <c r="J276" s="83">
        <f ca="1">NETWORKDAYS(F276,TODAY())</f>
        <v>66</v>
      </c>
      <c r="K276" s="82" t="str">
        <f ca="1">IF(J276&lt;30,"Menor a 30 días",IF(J276&lt;60,"Entre 30 y 60 días","Mayor a 60 días"))</f>
        <v>Mayor a 60 días</v>
      </c>
      <c r="L276" s="77" t="s">
        <v>176</v>
      </c>
      <c r="M276" s="77" t="s">
        <v>30</v>
      </c>
      <c r="N276" s="77" t="s">
        <v>30</v>
      </c>
      <c r="O276" s="77" t="s">
        <v>31</v>
      </c>
      <c r="P276" s="77" t="s">
        <v>29</v>
      </c>
      <c r="Q276" s="77" t="s">
        <v>32</v>
      </c>
      <c r="R276" s="77" t="s">
        <v>48</v>
      </c>
      <c r="S276" s="77" t="s">
        <v>33</v>
      </c>
      <c r="T276" s="77" t="s">
        <v>34</v>
      </c>
      <c r="U276" s="9" t="s">
        <v>35</v>
      </c>
      <c r="V276" s="9"/>
      <c r="W276" s="9"/>
      <c r="X276" s="9"/>
      <c r="Y276" s="85"/>
      <c r="Z276" s="85"/>
      <c r="AA276" s="85"/>
      <c r="AB276" s="85"/>
    </row>
    <row r="277" spans="1:28" hidden="1">
      <c r="A277" s="5" t="s">
        <v>1043</v>
      </c>
      <c r="B277" s="6" t="s">
        <v>1044</v>
      </c>
      <c r="C277" s="6" t="s">
        <v>26</v>
      </c>
      <c r="D277" s="6" t="s">
        <v>1045</v>
      </c>
      <c r="E277" s="6" t="s">
        <v>666</v>
      </c>
      <c r="F277" s="7">
        <v>46031</v>
      </c>
      <c r="G277" s="74"/>
      <c r="H277" s="74">
        <v>46118</v>
      </c>
      <c r="I277" s="74">
        <v>46118</v>
      </c>
      <c r="J277" s="83">
        <f ca="1">NETWORKDAYS(F277,TODAY())</f>
        <v>63</v>
      </c>
      <c r="K277" s="82" t="str">
        <f ca="1">IF(J277&lt;30,"Menor a 30 días",IF(J277&lt;60,"Entre 30 y 60 días","Mayor a 60 días"))</f>
        <v>Mayor a 60 días</v>
      </c>
      <c r="L277" s="77" t="s">
        <v>29</v>
      </c>
      <c r="M277" s="77" t="s">
        <v>30</v>
      </c>
      <c r="N277" s="77" t="s">
        <v>30</v>
      </c>
      <c r="O277" s="77" t="s">
        <v>30</v>
      </c>
      <c r="P277" s="77" t="s">
        <v>30</v>
      </c>
      <c r="Q277" s="77" t="s">
        <v>30</v>
      </c>
      <c r="R277" s="77" t="s">
        <v>30</v>
      </c>
      <c r="S277" s="77" t="s">
        <v>30</v>
      </c>
      <c r="T277" s="77" t="s">
        <v>34</v>
      </c>
      <c r="U277" s="9" t="s">
        <v>35</v>
      </c>
      <c r="V277" s="9"/>
      <c r="W277" s="9"/>
      <c r="X277" s="9"/>
      <c r="Y277" s="85"/>
      <c r="Z277" s="85"/>
      <c r="AA277" s="85"/>
      <c r="AB277" s="85"/>
    </row>
    <row r="278" spans="1:28" ht="24" hidden="1">
      <c r="A278" s="5" t="s">
        <v>1046</v>
      </c>
      <c r="B278" s="6" t="s">
        <v>1044</v>
      </c>
      <c r="C278" s="6" t="s">
        <v>26</v>
      </c>
      <c r="D278" s="6" t="s">
        <v>1047</v>
      </c>
      <c r="E278" s="6" t="s">
        <v>666</v>
      </c>
      <c r="F278" s="7">
        <v>46034</v>
      </c>
      <c r="G278" s="74"/>
      <c r="H278" s="74">
        <v>46034</v>
      </c>
      <c r="I278" s="74"/>
      <c r="J278" s="83">
        <f ca="1">NETWORKDAYS(F278,TODAY())</f>
        <v>62</v>
      </c>
      <c r="K278" s="82" t="str">
        <f ca="1">IF(J278&lt;30,"Menor a 30 días",IF(J278&lt;60,"Entre 30 y 60 días","Mayor a 60 días"))</f>
        <v>Mayor a 60 días</v>
      </c>
      <c r="L278" s="77" t="s">
        <v>30</v>
      </c>
      <c r="M278" s="77" t="s">
        <v>30</v>
      </c>
      <c r="N278" s="77" t="s">
        <v>30</v>
      </c>
      <c r="O278" s="77" t="s">
        <v>30</v>
      </c>
      <c r="P278" s="77" t="s">
        <v>30</v>
      </c>
      <c r="Q278" s="77" t="s">
        <v>30</v>
      </c>
      <c r="R278" s="77" t="s">
        <v>30</v>
      </c>
      <c r="S278" s="77" t="s">
        <v>30</v>
      </c>
      <c r="T278" s="77" t="s">
        <v>34</v>
      </c>
      <c r="U278" s="9" t="s">
        <v>35</v>
      </c>
      <c r="V278" s="9"/>
      <c r="W278" s="9"/>
      <c r="X278" s="9"/>
      <c r="Y278" s="85"/>
      <c r="Z278" s="85"/>
      <c r="AA278" s="85"/>
      <c r="AB278" s="85"/>
    </row>
    <row r="279" spans="1:28" ht="20.25" hidden="1">
      <c r="A279" s="5" t="s">
        <v>1048</v>
      </c>
      <c r="B279" s="6" t="s">
        <v>1049</v>
      </c>
      <c r="C279" s="6" t="s">
        <v>26</v>
      </c>
      <c r="D279" s="6" t="s">
        <v>1050</v>
      </c>
      <c r="E279" s="6" t="s">
        <v>666</v>
      </c>
      <c r="F279" s="7">
        <v>46037</v>
      </c>
      <c r="G279" s="74"/>
      <c r="H279" s="74">
        <v>46038</v>
      </c>
      <c r="I279" s="74">
        <v>46041</v>
      </c>
      <c r="J279" s="83">
        <f ca="1">NETWORKDAYS(F279,TODAY())</f>
        <v>59</v>
      </c>
      <c r="K279" s="82" t="str">
        <f ca="1">IF(J279&lt;30,"Menor a 30 días",IF(J279&lt;60,"Entre 30 y 60 días","Mayor a 60 días"))</f>
        <v>Entre 30 y 60 días</v>
      </c>
      <c r="L279" s="77" t="s">
        <v>30</v>
      </c>
      <c r="M279" s="77" t="s">
        <v>30</v>
      </c>
      <c r="N279" s="77" t="s">
        <v>30</v>
      </c>
      <c r="O279" s="77" t="s">
        <v>30</v>
      </c>
      <c r="P279" s="77" t="s">
        <v>30</v>
      </c>
      <c r="Q279" s="77" t="s">
        <v>30</v>
      </c>
      <c r="R279" s="77" t="s">
        <v>30</v>
      </c>
      <c r="S279" s="77" t="s">
        <v>33</v>
      </c>
      <c r="T279" s="77" t="s">
        <v>34</v>
      </c>
      <c r="U279" s="9" t="s">
        <v>35</v>
      </c>
      <c r="V279" s="9"/>
      <c r="W279" s="9"/>
      <c r="X279" s="9"/>
      <c r="Y279" s="85"/>
      <c r="Z279" s="85"/>
      <c r="AA279" s="85"/>
      <c r="AB279" s="85"/>
    </row>
    <row r="280" spans="1:28" ht="24" hidden="1">
      <c r="A280" s="5" t="s">
        <v>1051</v>
      </c>
      <c r="B280" s="6" t="s">
        <v>1052</v>
      </c>
      <c r="C280" s="6" t="s">
        <v>26</v>
      </c>
      <c r="D280" s="6" t="s">
        <v>1053</v>
      </c>
      <c r="E280" s="6" t="s">
        <v>1054</v>
      </c>
      <c r="F280" s="7">
        <v>46043</v>
      </c>
      <c r="G280" s="74"/>
      <c r="H280" s="74"/>
      <c r="I280" s="74"/>
      <c r="J280" s="83">
        <f ca="1">NETWORKDAYS(F280,TODAY())</f>
        <v>55</v>
      </c>
      <c r="K280" s="82" t="str">
        <f ca="1">IF(J280&lt;30,"Menor a 30 días",IF(J280&lt;60,"Entre 30 y 60 días","Mayor a 60 días"))</f>
        <v>Entre 30 y 60 días</v>
      </c>
      <c r="L280" s="77" t="s">
        <v>30</v>
      </c>
      <c r="M280" s="77" t="s">
        <v>30</v>
      </c>
      <c r="N280" s="77" t="s">
        <v>30</v>
      </c>
      <c r="O280" s="77" t="s">
        <v>30</v>
      </c>
      <c r="P280" s="77" t="s">
        <v>30</v>
      </c>
      <c r="Q280" s="77" t="s">
        <v>30</v>
      </c>
      <c r="R280" s="77" t="s">
        <v>30</v>
      </c>
      <c r="S280" s="77" t="s">
        <v>30</v>
      </c>
      <c r="T280" s="77" t="s">
        <v>200</v>
      </c>
      <c r="U280" s="9" t="s">
        <v>200</v>
      </c>
      <c r="V280" s="9" t="s">
        <v>49</v>
      </c>
      <c r="W280" s="9" t="s">
        <v>132</v>
      </c>
      <c r="X280" s="9"/>
      <c r="Y280" s="85"/>
      <c r="Z280" s="85"/>
      <c r="AA280" s="85"/>
      <c r="AB280" s="85"/>
    </row>
    <row r="281" spans="1:28" ht="34.5" hidden="1">
      <c r="A281" s="5" t="s">
        <v>1055</v>
      </c>
      <c r="B281" s="6" t="s">
        <v>1056</v>
      </c>
      <c r="C281" s="6" t="s">
        <v>26</v>
      </c>
      <c r="D281" s="6" t="s">
        <v>1057</v>
      </c>
      <c r="E281" s="6" t="s">
        <v>1058</v>
      </c>
      <c r="F281" s="7">
        <v>46043</v>
      </c>
      <c r="G281" s="74">
        <v>46070</v>
      </c>
      <c r="H281" s="74">
        <v>46106</v>
      </c>
      <c r="I281" s="74">
        <v>46107</v>
      </c>
      <c r="J281" s="83">
        <f ca="1">NETWORKDAYS(F281,TODAY())</f>
        <v>55</v>
      </c>
      <c r="K281" s="82" t="str">
        <f ca="1">IF(J281&lt;30,"Menor a 30 días",IF(J281&lt;60,"Entre 30 y 60 días","Mayor a 60 días"))</f>
        <v>Entre 30 y 60 días</v>
      </c>
      <c r="L281" s="77" t="s">
        <v>30</v>
      </c>
      <c r="M281" s="77" t="s">
        <v>30</v>
      </c>
      <c r="N281" s="77" t="s">
        <v>30</v>
      </c>
      <c r="O281" s="77" t="s">
        <v>30</v>
      </c>
      <c r="P281" s="77" t="s">
        <v>30</v>
      </c>
      <c r="Q281" s="77" t="s">
        <v>30</v>
      </c>
      <c r="R281" s="77" t="s">
        <v>48</v>
      </c>
      <c r="S281" s="77" t="s">
        <v>30</v>
      </c>
      <c r="T281" s="77" t="s">
        <v>34</v>
      </c>
      <c r="U281" s="9" t="s">
        <v>35</v>
      </c>
      <c r="V281" s="9"/>
      <c r="W281" s="9"/>
      <c r="X281" s="9"/>
      <c r="Y281" s="85"/>
      <c r="Z281" s="85"/>
      <c r="AA281" s="85"/>
      <c r="AB281" s="85"/>
    </row>
    <row r="282" spans="1:28" hidden="1">
      <c r="A282" s="5" t="s">
        <v>1059</v>
      </c>
      <c r="B282" s="6" t="s">
        <v>1060</v>
      </c>
      <c r="C282" s="6" t="s">
        <v>26</v>
      </c>
      <c r="D282" s="6" t="s">
        <v>1061</v>
      </c>
      <c r="E282" s="6" t="s">
        <v>1062</v>
      </c>
      <c r="F282" s="7">
        <v>46043</v>
      </c>
      <c r="G282" s="74"/>
      <c r="H282" s="74">
        <v>46050</v>
      </c>
      <c r="I282" s="74">
        <v>46050</v>
      </c>
      <c r="J282" s="83">
        <f ca="1">NETWORKDAYS(F282,TODAY())</f>
        <v>55</v>
      </c>
      <c r="K282" s="82" t="str">
        <f ca="1">IF(J282&lt;30,"Menor a 30 días",IF(J282&lt;60,"Entre 30 y 60 días","Mayor a 60 días"))</f>
        <v>Entre 30 y 60 días</v>
      </c>
      <c r="L282" s="77" t="s">
        <v>30</v>
      </c>
      <c r="M282" s="77" t="s">
        <v>30</v>
      </c>
      <c r="N282" s="77" t="s">
        <v>30</v>
      </c>
      <c r="O282" s="77" t="s">
        <v>30</v>
      </c>
      <c r="P282" s="77" t="s">
        <v>30</v>
      </c>
      <c r="Q282" s="77" t="s">
        <v>30</v>
      </c>
      <c r="R282" s="77" t="s">
        <v>30</v>
      </c>
      <c r="S282" s="77" t="s">
        <v>30</v>
      </c>
      <c r="T282" s="77" t="s">
        <v>34</v>
      </c>
      <c r="U282" s="9" t="s">
        <v>35</v>
      </c>
      <c r="V282" s="9" t="s">
        <v>49</v>
      </c>
      <c r="W282" s="9" t="s">
        <v>132</v>
      </c>
      <c r="X282" s="9"/>
      <c r="Y282" s="85"/>
      <c r="Z282" s="85"/>
      <c r="AA282" s="85"/>
      <c r="AB282" s="85"/>
    </row>
    <row r="283" spans="1:28" ht="20.25" hidden="1">
      <c r="A283" s="5" t="s">
        <v>1063</v>
      </c>
      <c r="B283" s="6" t="s">
        <v>1064</v>
      </c>
      <c r="C283" s="6" t="s">
        <v>26</v>
      </c>
      <c r="D283" s="6" t="s">
        <v>639</v>
      </c>
      <c r="E283" s="6" t="s">
        <v>1065</v>
      </c>
      <c r="F283" s="7">
        <v>46050</v>
      </c>
      <c r="G283" s="74">
        <v>46065</v>
      </c>
      <c r="H283" s="74">
        <v>46065</v>
      </c>
      <c r="I283" s="74"/>
      <c r="J283" s="83">
        <f ca="1">NETWORKDAYS(F283,TODAY())</f>
        <v>50</v>
      </c>
      <c r="K283" s="82" t="str">
        <f ca="1">IF(J283&lt;30,"Menor a 30 días",IF(J283&lt;60,"Entre 30 y 60 días","Mayor a 60 días"))</f>
        <v>Entre 30 y 60 días</v>
      </c>
      <c r="L283" s="77" t="s">
        <v>30</v>
      </c>
      <c r="M283" s="77" t="s">
        <v>30</v>
      </c>
      <c r="N283" s="77" t="s">
        <v>30</v>
      </c>
      <c r="O283" s="77" t="s">
        <v>30</v>
      </c>
      <c r="P283" s="77" t="s">
        <v>30</v>
      </c>
      <c r="Q283" s="77" t="s">
        <v>30</v>
      </c>
      <c r="R283" s="77" t="s">
        <v>48</v>
      </c>
      <c r="S283" s="77" t="s">
        <v>30</v>
      </c>
      <c r="T283" s="77" t="s">
        <v>34</v>
      </c>
      <c r="U283" s="9" t="s">
        <v>35</v>
      </c>
      <c r="V283" s="9"/>
      <c r="W283" s="9"/>
      <c r="X283" s="9"/>
      <c r="Y283" s="85"/>
      <c r="Z283" s="85"/>
      <c r="AA283" s="85"/>
      <c r="AB283" s="85"/>
    </row>
    <row r="284" spans="1:28" ht="20.25" hidden="1">
      <c r="A284" s="5" t="s">
        <v>1066</v>
      </c>
      <c r="B284" s="6" t="s">
        <v>1067</v>
      </c>
      <c r="C284" s="6" t="s">
        <v>898</v>
      </c>
      <c r="D284" s="6" t="s">
        <v>1068</v>
      </c>
      <c r="E284" s="6" t="s">
        <v>1069</v>
      </c>
      <c r="F284" s="7">
        <v>46049</v>
      </c>
      <c r="G284" s="7">
        <v>46079</v>
      </c>
      <c r="H284" s="74">
        <v>46076</v>
      </c>
      <c r="I284" s="74"/>
      <c r="J284" s="83">
        <f ca="1">NETWORKDAYS(F284,TODAY())</f>
        <v>51</v>
      </c>
      <c r="K284" s="82" t="str">
        <f ca="1">IF(J284&lt;30,"Menor a 30 días",IF(J284&lt;60,"Entre 30 y 60 días","Mayor a 60 días"))</f>
        <v>Entre 30 y 60 días</v>
      </c>
      <c r="L284" s="77" t="s">
        <v>29</v>
      </c>
      <c r="M284" s="77" t="s">
        <v>30</v>
      </c>
      <c r="N284" s="77" t="s">
        <v>30</v>
      </c>
      <c r="O284" s="77" t="s">
        <v>31</v>
      </c>
      <c r="P284" s="77" t="s">
        <v>29</v>
      </c>
      <c r="Q284" s="77" t="s">
        <v>32</v>
      </c>
      <c r="R284" s="77" t="s">
        <v>30</v>
      </c>
      <c r="S284" s="77" t="s">
        <v>33</v>
      </c>
      <c r="T284" s="77" t="s">
        <v>34</v>
      </c>
      <c r="U284" s="9" t="s">
        <v>35</v>
      </c>
      <c r="V284" s="9"/>
      <c r="W284" s="9"/>
      <c r="X284" s="9" t="s">
        <v>1070</v>
      </c>
      <c r="Y284" s="85"/>
      <c r="Z284" s="85"/>
      <c r="AA284" s="85"/>
      <c r="AB284" s="85"/>
    </row>
    <row r="285" spans="1:28" ht="24" hidden="1">
      <c r="A285" s="5" t="s">
        <v>1071</v>
      </c>
      <c r="B285" s="6" t="s">
        <v>1072</v>
      </c>
      <c r="C285" s="6" t="s">
        <v>26</v>
      </c>
      <c r="D285" s="6" t="s">
        <v>1073</v>
      </c>
      <c r="E285" s="6" t="s">
        <v>1074</v>
      </c>
      <c r="F285" s="7">
        <v>46050</v>
      </c>
      <c r="G285" s="74">
        <v>46080</v>
      </c>
      <c r="H285" s="74"/>
      <c r="I285" s="74"/>
      <c r="J285" s="83">
        <f ca="1">NETWORKDAYS(F285,TODAY())</f>
        <v>50</v>
      </c>
      <c r="K285" s="82" t="str">
        <f ca="1">IF(J285&lt;30,"Menor a 30 días",IF(J285&lt;60,"Entre 30 y 60 días","Mayor a 60 días"))</f>
        <v>Entre 30 y 60 días</v>
      </c>
      <c r="L285" s="77" t="s">
        <v>176</v>
      </c>
      <c r="M285" s="77" t="s">
        <v>30</v>
      </c>
      <c r="N285" s="77" t="s">
        <v>30</v>
      </c>
      <c r="O285" s="77" t="s">
        <v>31</v>
      </c>
      <c r="P285" s="77" t="s">
        <v>29</v>
      </c>
      <c r="Q285" s="77" t="s">
        <v>32</v>
      </c>
      <c r="R285" s="77" t="s">
        <v>48</v>
      </c>
      <c r="S285" s="77" t="s">
        <v>33</v>
      </c>
      <c r="T285" s="77" t="s">
        <v>93</v>
      </c>
      <c r="U285" s="9" t="s">
        <v>93</v>
      </c>
      <c r="V285" s="9"/>
      <c r="W285" s="9"/>
      <c r="X285" s="9"/>
      <c r="Y285" s="85"/>
      <c r="Z285" s="85"/>
      <c r="AA285" s="85"/>
      <c r="AB285" s="85"/>
    </row>
    <row r="286" spans="1:28" ht="34.5">
      <c r="A286" s="5" t="s">
        <v>1075</v>
      </c>
      <c r="B286" s="6" t="s">
        <v>1076</v>
      </c>
      <c r="C286" s="6" t="s">
        <v>898</v>
      </c>
      <c r="D286" s="6" t="s">
        <v>1077</v>
      </c>
      <c r="E286" s="6" t="s">
        <v>1078</v>
      </c>
      <c r="F286" s="7">
        <v>46052</v>
      </c>
      <c r="G286" s="74">
        <v>46081</v>
      </c>
      <c r="H286" s="74"/>
      <c r="I286" s="74"/>
      <c r="J286" s="83">
        <f ca="1">NETWORKDAYS(F286,TODAY())</f>
        <v>48</v>
      </c>
      <c r="K286" s="82" t="str">
        <f ca="1">IF(J286&lt;30,"Menor a 30 días",IF(J286&lt;60,"Entre 30 y 60 días","Mayor a 60 días"))</f>
        <v>Entre 30 y 60 días</v>
      </c>
      <c r="L286" s="77" t="s">
        <v>29</v>
      </c>
      <c r="M286" s="77" t="s">
        <v>30</v>
      </c>
      <c r="N286" s="77" t="s">
        <v>30</v>
      </c>
      <c r="O286" s="77" t="s">
        <v>142</v>
      </c>
      <c r="P286" s="77" t="s">
        <v>93</v>
      </c>
      <c r="Q286" s="77" t="s">
        <v>239</v>
      </c>
      <c r="R286" s="77" t="s">
        <v>359</v>
      </c>
      <c r="S286" s="77" t="s">
        <v>119</v>
      </c>
      <c r="T286" s="77" t="s">
        <v>93</v>
      </c>
      <c r="U286" s="9" t="s">
        <v>93</v>
      </c>
      <c r="V286" s="9"/>
      <c r="W286" s="9"/>
      <c r="X286" s="9"/>
      <c r="Y286" s="85"/>
      <c r="Z286" s="85"/>
      <c r="AA286" s="85"/>
      <c r="AB286" s="85"/>
    </row>
    <row r="287" spans="1:28" ht="24" hidden="1">
      <c r="A287" s="5" t="s">
        <v>1079</v>
      </c>
      <c r="B287" s="6" t="s">
        <v>1080</v>
      </c>
      <c r="C287" s="6" t="s">
        <v>26</v>
      </c>
      <c r="D287" s="6" t="s">
        <v>87</v>
      </c>
      <c r="E287" s="6" t="s">
        <v>1081</v>
      </c>
      <c r="F287" s="7">
        <v>46057</v>
      </c>
      <c r="G287" s="74">
        <v>46086</v>
      </c>
      <c r="H287" s="74">
        <v>46101</v>
      </c>
      <c r="I287" s="74">
        <v>46104</v>
      </c>
      <c r="J287" s="83">
        <f ca="1">NETWORKDAYS(F287,TODAY())</f>
        <v>45</v>
      </c>
      <c r="K287" s="82" t="str">
        <f ca="1">IF(J287&lt;30,"Menor a 30 días",IF(J287&lt;60,"Entre 30 y 60 días","Mayor a 60 días"))</f>
        <v>Entre 30 y 60 días</v>
      </c>
      <c r="L287" s="77" t="s">
        <v>29</v>
      </c>
      <c r="M287" s="77" t="s">
        <v>30</v>
      </c>
      <c r="N287" s="77" t="s">
        <v>30</v>
      </c>
      <c r="O287" s="77" t="s">
        <v>31</v>
      </c>
      <c r="P287" s="77" t="s">
        <v>29</v>
      </c>
      <c r="Q287" s="77" t="s">
        <v>32</v>
      </c>
      <c r="R287" s="77" t="s">
        <v>30</v>
      </c>
      <c r="S287" s="77" t="s">
        <v>33</v>
      </c>
      <c r="T287" s="77" t="s">
        <v>34</v>
      </c>
      <c r="U287" s="9" t="s">
        <v>35</v>
      </c>
      <c r="V287" s="9"/>
      <c r="W287" s="9"/>
      <c r="X287" s="9"/>
      <c r="Y287" s="85"/>
      <c r="Z287" s="85"/>
      <c r="AA287" s="85"/>
      <c r="AB287" s="85"/>
    </row>
    <row r="288" spans="1:28" hidden="1">
      <c r="A288" s="5" t="s">
        <v>1082</v>
      </c>
      <c r="B288" s="6" t="s">
        <v>1083</v>
      </c>
      <c r="C288" s="6" t="s">
        <v>26</v>
      </c>
      <c r="D288" s="6" t="s">
        <v>1084</v>
      </c>
      <c r="E288" s="6" t="s">
        <v>666</v>
      </c>
      <c r="F288" s="7">
        <v>46062</v>
      </c>
      <c r="G288" s="74"/>
      <c r="H288" s="74">
        <v>46063</v>
      </c>
      <c r="I288" s="74"/>
      <c r="J288" s="83">
        <f ca="1">NETWORKDAYS(F288,TODAY())</f>
        <v>42</v>
      </c>
      <c r="K288" s="82" t="str">
        <f ca="1">IF(J288&lt;30,"Menor a 30 días",IF(J288&lt;60,"Entre 30 y 60 días","Mayor a 60 días"))</f>
        <v>Entre 30 y 60 días</v>
      </c>
      <c r="L288" s="77" t="s">
        <v>30</v>
      </c>
      <c r="M288" s="77" t="s">
        <v>30</v>
      </c>
      <c r="N288" s="77" t="s">
        <v>30</v>
      </c>
      <c r="O288" s="77" t="s">
        <v>30</v>
      </c>
      <c r="P288" s="77" t="s">
        <v>30</v>
      </c>
      <c r="Q288" s="77" t="s">
        <v>30</v>
      </c>
      <c r="R288" s="77" t="s">
        <v>30</v>
      </c>
      <c r="S288" s="77" t="s">
        <v>30</v>
      </c>
      <c r="T288" s="77" t="s">
        <v>34</v>
      </c>
      <c r="U288" s="9" t="s">
        <v>35</v>
      </c>
      <c r="V288" s="9"/>
      <c r="W288" s="9"/>
      <c r="X288" s="9"/>
      <c r="Y288" s="85"/>
      <c r="Z288" s="85"/>
      <c r="AA288" s="85"/>
      <c r="AB288" s="85"/>
    </row>
    <row r="289" spans="1:28" hidden="1">
      <c r="A289" s="5" t="s">
        <v>1085</v>
      </c>
      <c r="B289" s="6" t="s">
        <v>1083</v>
      </c>
      <c r="C289" s="6" t="s">
        <v>26</v>
      </c>
      <c r="D289" s="6" t="s">
        <v>1084</v>
      </c>
      <c r="E289" s="6" t="s">
        <v>666</v>
      </c>
      <c r="F289" s="7">
        <v>46062</v>
      </c>
      <c r="G289" s="74"/>
      <c r="H289" s="74">
        <v>46063</v>
      </c>
      <c r="I289" s="74"/>
      <c r="J289" s="83">
        <f ca="1">NETWORKDAYS(F289,TODAY())</f>
        <v>42</v>
      </c>
      <c r="K289" s="82" t="str">
        <f ca="1">IF(J289&lt;30,"Menor a 30 días",IF(J289&lt;60,"Entre 30 y 60 días","Mayor a 60 días"))</f>
        <v>Entre 30 y 60 días</v>
      </c>
      <c r="L289" s="77" t="s">
        <v>30</v>
      </c>
      <c r="M289" s="77" t="s">
        <v>30</v>
      </c>
      <c r="N289" s="77" t="s">
        <v>30</v>
      </c>
      <c r="O289" s="77" t="s">
        <v>30</v>
      </c>
      <c r="P289" s="77" t="s">
        <v>30</v>
      </c>
      <c r="Q289" s="77" t="s">
        <v>30</v>
      </c>
      <c r="R289" s="77" t="s">
        <v>30</v>
      </c>
      <c r="S289" s="77" t="s">
        <v>30</v>
      </c>
      <c r="T289" s="77" t="s">
        <v>34</v>
      </c>
      <c r="U289" s="9" t="s">
        <v>35</v>
      </c>
      <c r="V289" s="9"/>
      <c r="W289" s="9"/>
      <c r="X289" s="9"/>
      <c r="Y289" s="85"/>
      <c r="Z289" s="85"/>
      <c r="AA289" s="85"/>
      <c r="AB289" s="85"/>
    </row>
    <row r="290" spans="1:28" ht="23.25" hidden="1">
      <c r="A290" s="5" t="s">
        <v>1086</v>
      </c>
      <c r="B290" s="6" t="s">
        <v>1087</v>
      </c>
      <c r="C290" s="6" t="s">
        <v>898</v>
      </c>
      <c r="D290" s="6" t="s">
        <v>1088</v>
      </c>
      <c r="E290" s="6" t="s">
        <v>1089</v>
      </c>
      <c r="F290" s="7">
        <v>46058</v>
      </c>
      <c r="G290" s="74"/>
      <c r="H290" s="74"/>
      <c r="I290" s="74"/>
      <c r="J290" s="83"/>
      <c r="K290" s="82"/>
      <c r="L290" s="77" t="s">
        <v>318</v>
      </c>
      <c r="M290" s="77" t="s">
        <v>30</v>
      </c>
      <c r="N290" s="77" t="s">
        <v>30</v>
      </c>
      <c r="O290" s="77" t="s">
        <v>30</v>
      </c>
      <c r="P290" s="77" t="s">
        <v>30</v>
      </c>
      <c r="Q290" s="77" t="s">
        <v>30</v>
      </c>
      <c r="R290" s="77" t="s">
        <v>30</v>
      </c>
      <c r="S290" s="77" t="s">
        <v>30</v>
      </c>
      <c r="T290" s="77" t="s">
        <v>200</v>
      </c>
      <c r="U290" s="9" t="s">
        <v>200</v>
      </c>
      <c r="V290" s="9" t="s">
        <v>36</v>
      </c>
      <c r="W290" s="9" t="s">
        <v>215</v>
      </c>
      <c r="X290" s="9"/>
      <c r="Y290" s="85"/>
      <c r="Z290" s="85"/>
      <c r="AA290" s="85"/>
      <c r="AB290" s="85"/>
    </row>
    <row r="291" spans="1:28" ht="34.5" hidden="1">
      <c r="A291" s="5" t="s">
        <v>1090</v>
      </c>
      <c r="B291" s="6" t="s">
        <v>1091</v>
      </c>
      <c r="C291" s="6" t="s">
        <v>898</v>
      </c>
      <c r="D291" s="6" t="s">
        <v>1092</v>
      </c>
      <c r="E291" s="6" t="s">
        <v>1093</v>
      </c>
      <c r="F291" s="7">
        <v>46058</v>
      </c>
      <c r="G291" s="74">
        <v>46086</v>
      </c>
      <c r="H291" s="74">
        <v>46107</v>
      </c>
      <c r="I291" s="74"/>
      <c r="J291" s="83"/>
      <c r="K291" s="82"/>
      <c r="L291" s="77" t="s">
        <v>29</v>
      </c>
      <c r="M291" s="77" t="s">
        <v>30</v>
      </c>
      <c r="N291" s="77" t="s">
        <v>30</v>
      </c>
      <c r="O291" s="77" t="s">
        <v>31</v>
      </c>
      <c r="P291" s="77" t="s">
        <v>29</v>
      </c>
      <c r="Q291" s="77" t="s">
        <v>32</v>
      </c>
      <c r="R291" s="77" t="s">
        <v>30</v>
      </c>
      <c r="S291" s="77" t="s">
        <v>33</v>
      </c>
      <c r="T291" s="77" t="s">
        <v>34</v>
      </c>
      <c r="U291" s="9" t="s">
        <v>35</v>
      </c>
      <c r="V291" s="9"/>
      <c r="W291" s="9"/>
      <c r="X291" s="9"/>
      <c r="Y291" s="85"/>
      <c r="Z291" s="85"/>
      <c r="AA291" s="85"/>
      <c r="AB291" s="85"/>
    </row>
    <row r="292" spans="1:28" ht="20.25" hidden="1">
      <c r="A292" s="5" t="s">
        <v>1094</v>
      </c>
      <c r="B292" s="6" t="s">
        <v>1095</v>
      </c>
      <c r="C292" s="6" t="s">
        <v>898</v>
      </c>
      <c r="D292" s="6" t="s">
        <v>881</v>
      </c>
      <c r="E292" s="6" t="s">
        <v>1096</v>
      </c>
      <c r="F292" s="7">
        <v>46062</v>
      </c>
      <c r="G292" s="74">
        <v>46090</v>
      </c>
      <c r="H292" s="74">
        <v>46084</v>
      </c>
      <c r="I292" s="74"/>
      <c r="J292" s="83"/>
      <c r="K292" s="82"/>
      <c r="L292" s="77" t="s">
        <v>29</v>
      </c>
      <c r="M292" s="77" t="s">
        <v>30</v>
      </c>
      <c r="N292" s="77" t="s">
        <v>30</v>
      </c>
      <c r="O292" s="77" t="s">
        <v>31</v>
      </c>
      <c r="P292" s="77" t="s">
        <v>29</v>
      </c>
      <c r="Q292" s="77" t="s">
        <v>32</v>
      </c>
      <c r="R292" s="77" t="s">
        <v>48</v>
      </c>
      <c r="S292" s="77" t="s">
        <v>33</v>
      </c>
      <c r="T292" s="77" t="s">
        <v>34</v>
      </c>
      <c r="U292" s="9" t="s">
        <v>35</v>
      </c>
      <c r="V292" s="9"/>
      <c r="W292" s="9"/>
      <c r="X292" s="9" t="s">
        <v>1097</v>
      </c>
      <c r="Y292" s="85"/>
      <c r="Z292" s="85"/>
      <c r="AA292" s="85"/>
      <c r="AB292" s="85"/>
    </row>
    <row r="293" spans="1:28" ht="34.5" hidden="1">
      <c r="A293" s="5" t="s">
        <v>1098</v>
      </c>
      <c r="B293" s="6" t="s">
        <v>1099</v>
      </c>
      <c r="C293" s="6" t="s">
        <v>898</v>
      </c>
      <c r="D293" s="6" t="s">
        <v>1100</v>
      </c>
      <c r="E293" s="6" t="s">
        <v>1101</v>
      </c>
      <c r="F293" s="7">
        <v>46063</v>
      </c>
      <c r="G293" s="74">
        <v>46091</v>
      </c>
      <c r="H293" s="74">
        <v>46094</v>
      </c>
      <c r="I293" s="74"/>
      <c r="J293" s="83"/>
      <c r="K293" s="82"/>
      <c r="L293" s="77" t="s">
        <v>29</v>
      </c>
      <c r="M293" s="77" t="s">
        <v>30</v>
      </c>
      <c r="N293" s="77" t="s">
        <v>30</v>
      </c>
      <c r="O293" s="77" t="s">
        <v>31</v>
      </c>
      <c r="P293" s="77" t="s">
        <v>29</v>
      </c>
      <c r="Q293" s="77" t="s">
        <v>32</v>
      </c>
      <c r="R293" s="77" t="s">
        <v>30</v>
      </c>
      <c r="S293" s="77" t="s">
        <v>33</v>
      </c>
      <c r="T293" s="77" t="s">
        <v>34</v>
      </c>
      <c r="U293" s="9" t="s">
        <v>35</v>
      </c>
      <c r="V293" s="9" t="s">
        <v>70</v>
      </c>
      <c r="W293" s="9" t="s">
        <v>215</v>
      </c>
      <c r="X293" s="9"/>
      <c r="Y293" s="85"/>
      <c r="Z293" s="85"/>
      <c r="AA293" s="85"/>
      <c r="AB293" s="85"/>
    </row>
    <row r="294" spans="1:28" ht="24" hidden="1">
      <c r="A294" s="5" t="s">
        <v>1102</v>
      </c>
      <c r="B294" s="6" t="s">
        <v>1103</v>
      </c>
      <c r="C294" s="6" t="s">
        <v>26</v>
      </c>
      <c r="D294" s="6" t="s">
        <v>1104</v>
      </c>
      <c r="E294" s="6" t="s">
        <v>1105</v>
      </c>
      <c r="F294" s="7">
        <v>46064</v>
      </c>
      <c r="G294" s="74">
        <v>46092</v>
      </c>
      <c r="H294" s="74">
        <v>46086</v>
      </c>
      <c r="I294" s="74"/>
      <c r="J294" s="83">
        <f ca="1">NETWORKDAYS(F294,TODAY())</f>
        <v>40</v>
      </c>
      <c r="K294" s="82" t="str">
        <f ca="1">IF(J294&lt;30,"Menor a 30 días",IF(J294&lt;60,"Entre 30 y 60 días","Mayor a 60 días"))</f>
        <v>Entre 30 y 60 días</v>
      </c>
      <c r="L294" s="77" t="s">
        <v>30</v>
      </c>
      <c r="M294" s="77" t="s">
        <v>30</v>
      </c>
      <c r="N294" s="77" t="s">
        <v>30</v>
      </c>
      <c r="O294" s="77" t="s">
        <v>30</v>
      </c>
      <c r="P294" s="77" t="s">
        <v>30</v>
      </c>
      <c r="Q294" s="77" t="s">
        <v>30</v>
      </c>
      <c r="R294" s="77" t="s">
        <v>48</v>
      </c>
      <c r="S294" s="77" t="s">
        <v>30</v>
      </c>
      <c r="T294" s="77" t="s">
        <v>34</v>
      </c>
      <c r="U294" s="9" t="s">
        <v>35</v>
      </c>
      <c r="V294" s="9"/>
      <c r="W294" s="9"/>
      <c r="X294" s="9"/>
      <c r="Y294" s="85"/>
      <c r="Z294" s="85"/>
      <c r="AA294" s="85"/>
      <c r="AB294" s="85"/>
    </row>
    <row r="295" spans="1:28" ht="24" hidden="1">
      <c r="A295" s="5" t="s">
        <v>1106</v>
      </c>
      <c r="B295" s="6" t="s">
        <v>1107</v>
      </c>
      <c r="C295" s="6" t="s">
        <v>26</v>
      </c>
      <c r="D295" s="6" t="s">
        <v>1104</v>
      </c>
      <c r="E295" s="6" t="s">
        <v>1108</v>
      </c>
      <c r="F295" s="7">
        <v>46064</v>
      </c>
      <c r="G295" s="74">
        <v>46092</v>
      </c>
      <c r="H295" s="74">
        <v>46086</v>
      </c>
      <c r="I295" s="74"/>
      <c r="J295" s="83">
        <f ca="1">NETWORKDAYS(F295,TODAY())</f>
        <v>40</v>
      </c>
      <c r="K295" s="82" t="str">
        <f ca="1">IF(J295&lt;30,"Menor a 30 días",IF(J295&lt;60,"Entre 30 y 60 días","Mayor a 60 días"))</f>
        <v>Entre 30 y 60 días</v>
      </c>
      <c r="L295" s="77" t="s">
        <v>30</v>
      </c>
      <c r="M295" s="77" t="s">
        <v>30</v>
      </c>
      <c r="N295" s="77" t="s">
        <v>30</v>
      </c>
      <c r="O295" s="77" t="s">
        <v>30</v>
      </c>
      <c r="P295" s="77" t="s">
        <v>30</v>
      </c>
      <c r="Q295" s="77" t="s">
        <v>30</v>
      </c>
      <c r="R295" s="77" t="s">
        <v>48</v>
      </c>
      <c r="S295" s="77" t="s">
        <v>30</v>
      </c>
      <c r="T295" s="77" t="s">
        <v>34</v>
      </c>
      <c r="U295" s="9" t="s">
        <v>35</v>
      </c>
      <c r="V295" s="9"/>
      <c r="W295" s="9"/>
      <c r="X295" s="9"/>
      <c r="Y295" s="85"/>
      <c r="Z295" s="85"/>
      <c r="AA295" s="85"/>
      <c r="AB295" s="85"/>
    </row>
    <row r="296" spans="1:28" ht="20.25" hidden="1">
      <c r="A296" s="5" t="s">
        <v>1109</v>
      </c>
      <c r="B296" s="6" t="s">
        <v>1110</v>
      </c>
      <c r="C296" s="6" t="s">
        <v>26</v>
      </c>
      <c r="D296" s="6" t="s">
        <v>1111</v>
      </c>
      <c r="E296" s="6" t="s">
        <v>1112</v>
      </c>
      <c r="F296" s="7">
        <v>45971</v>
      </c>
      <c r="G296" s="74">
        <v>45971</v>
      </c>
      <c r="H296" s="74"/>
      <c r="I296" s="74"/>
      <c r="J296" s="83">
        <f ca="1">NETWORKDAYS(F296,TODAY())</f>
        <v>107</v>
      </c>
      <c r="K296" s="82" t="str">
        <f ca="1">IF(J296&lt;30,"Menor a 30 días",IF(J296&lt;60,"Entre 30 y 60 días","Mayor a 60 días"))</f>
        <v>Mayor a 60 días</v>
      </c>
      <c r="L296" s="77" t="s">
        <v>176</v>
      </c>
      <c r="M296" s="77" t="s">
        <v>30</v>
      </c>
      <c r="N296" s="77" t="s">
        <v>30</v>
      </c>
      <c r="O296" s="77" t="s">
        <v>31</v>
      </c>
      <c r="P296" s="77" t="s">
        <v>29</v>
      </c>
      <c r="Q296" s="77" t="s">
        <v>32</v>
      </c>
      <c r="R296" s="77" t="s">
        <v>30</v>
      </c>
      <c r="S296" s="77" t="s">
        <v>33</v>
      </c>
      <c r="T296" s="77" t="s">
        <v>93</v>
      </c>
      <c r="U296" s="9" t="s">
        <v>93</v>
      </c>
      <c r="V296" s="9" t="s">
        <v>36</v>
      </c>
      <c r="W296" s="9" t="s">
        <v>1</v>
      </c>
      <c r="X296" s="9" t="s">
        <v>1113</v>
      </c>
      <c r="Y296" s="85"/>
      <c r="Z296" s="85"/>
      <c r="AA296" s="85"/>
      <c r="AB296" s="85"/>
    </row>
    <row r="297" spans="1:28" hidden="1">
      <c r="A297" s="5" t="s">
        <v>1114</v>
      </c>
      <c r="B297" s="6" t="s">
        <v>1115</v>
      </c>
      <c r="C297" s="6" t="s">
        <v>26</v>
      </c>
      <c r="D297" s="6" t="s">
        <v>532</v>
      </c>
      <c r="E297" s="6" t="s">
        <v>1116</v>
      </c>
      <c r="F297" s="7">
        <v>46064</v>
      </c>
      <c r="G297" s="74">
        <v>46078</v>
      </c>
      <c r="H297" s="74">
        <v>46083</v>
      </c>
      <c r="I297" s="74"/>
      <c r="J297" s="83">
        <f ca="1">NETWORKDAYS(F297,TODAY())</f>
        <v>40</v>
      </c>
      <c r="K297" s="82" t="str">
        <f ca="1">IF(J297&lt;30,"Menor a 30 días",IF(J297&lt;60,"Entre 30 y 60 días","Mayor a 60 días"))</f>
        <v>Entre 30 y 60 días</v>
      </c>
      <c r="L297" s="77" t="s">
        <v>30</v>
      </c>
      <c r="M297" s="77" t="s">
        <v>30</v>
      </c>
      <c r="N297" s="77" t="s">
        <v>30</v>
      </c>
      <c r="O297" s="77" t="s">
        <v>30</v>
      </c>
      <c r="P297" s="77" t="s">
        <v>30</v>
      </c>
      <c r="Q297" s="77" t="s">
        <v>30</v>
      </c>
      <c r="R297" s="77" t="s">
        <v>30</v>
      </c>
      <c r="S297" s="77" t="s">
        <v>30</v>
      </c>
      <c r="T297" s="77" t="s">
        <v>34</v>
      </c>
      <c r="U297" s="9" t="s">
        <v>35</v>
      </c>
      <c r="V297" s="9"/>
      <c r="W297" s="9"/>
      <c r="X297" s="9"/>
      <c r="Y297" s="85"/>
      <c r="Z297" s="85"/>
      <c r="AA297" s="85"/>
      <c r="AB297" s="85"/>
    </row>
    <row r="298" spans="1:28" ht="20.25">
      <c r="A298" s="5" t="s">
        <v>1117</v>
      </c>
      <c r="B298" s="6" t="s">
        <v>1118</v>
      </c>
      <c r="C298" s="6" t="s">
        <v>898</v>
      </c>
      <c r="D298" s="6" t="s">
        <v>460</v>
      </c>
      <c r="E298" s="6" t="s">
        <v>1119</v>
      </c>
      <c r="F298" s="7">
        <v>46063</v>
      </c>
      <c r="G298" s="74">
        <v>46091</v>
      </c>
      <c r="H298" s="74"/>
      <c r="I298" s="74"/>
      <c r="J298" s="83"/>
      <c r="K298" s="82"/>
      <c r="L298" s="77" t="s">
        <v>29</v>
      </c>
      <c r="M298" s="77" t="s">
        <v>30</v>
      </c>
      <c r="N298" s="77" t="s">
        <v>30</v>
      </c>
      <c r="O298" s="77" t="s">
        <v>142</v>
      </c>
      <c r="P298" s="77" t="s">
        <v>93</v>
      </c>
      <c r="Q298" s="77" t="s">
        <v>1120</v>
      </c>
      <c r="R298" s="77" t="s">
        <v>30</v>
      </c>
      <c r="S298" s="77" t="s">
        <v>1121</v>
      </c>
      <c r="T298" s="77" t="s">
        <v>93</v>
      </c>
      <c r="U298" s="9" t="s">
        <v>93</v>
      </c>
      <c r="V298" s="9"/>
      <c r="W298" s="9"/>
      <c r="X298" s="9"/>
      <c r="Y298" s="85"/>
      <c r="Z298" s="85"/>
      <c r="AA298" s="85"/>
      <c r="AB298" s="85"/>
    </row>
    <row r="299" spans="1:28" hidden="1">
      <c r="A299" s="5" t="s">
        <v>1122</v>
      </c>
      <c r="B299" s="6" t="s">
        <v>1123</v>
      </c>
      <c r="C299" s="6" t="s">
        <v>898</v>
      </c>
      <c r="D299" s="6" t="s">
        <v>1124</v>
      </c>
      <c r="E299" s="6" t="s">
        <v>1125</v>
      </c>
      <c r="F299" s="7">
        <v>46049</v>
      </c>
      <c r="G299" s="74"/>
      <c r="H299" s="74"/>
      <c r="I299" s="74"/>
      <c r="J299" s="83"/>
      <c r="K299" s="82"/>
      <c r="L299" s="77" t="s">
        <v>205</v>
      </c>
      <c r="M299" s="77" t="s">
        <v>30</v>
      </c>
      <c r="N299" s="77" t="s">
        <v>30</v>
      </c>
      <c r="O299" s="77" t="s">
        <v>30</v>
      </c>
      <c r="P299" s="77" t="s">
        <v>30</v>
      </c>
      <c r="Q299" s="77" t="s">
        <v>30</v>
      </c>
      <c r="R299" s="77" t="s">
        <v>30</v>
      </c>
      <c r="S299" s="77" t="s">
        <v>30</v>
      </c>
      <c r="T299" s="77" t="s">
        <v>34</v>
      </c>
      <c r="U299" s="9" t="s">
        <v>60</v>
      </c>
      <c r="V299" s="9"/>
      <c r="W299" s="9"/>
      <c r="X299" s="9"/>
      <c r="Y299" s="85"/>
      <c r="Z299" s="85"/>
      <c r="AA299" s="85"/>
      <c r="AB299" s="85"/>
    </row>
    <row r="300" spans="1:28" ht="34.5">
      <c r="A300" s="5" t="s">
        <v>1126</v>
      </c>
      <c r="B300" s="6" t="s">
        <v>1127</v>
      </c>
      <c r="C300" s="6" t="s">
        <v>898</v>
      </c>
      <c r="D300" s="6" t="s">
        <v>1128</v>
      </c>
      <c r="E300" s="6" t="s">
        <v>1129</v>
      </c>
      <c r="F300" s="7">
        <v>46065</v>
      </c>
      <c r="G300" s="74">
        <v>46093</v>
      </c>
      <c r="H300" s="74"/>
      <c r="I300" s="74"/>
      <c r="J300" s="83"/>
      <c r="K300" s="82"/>
      <c r="L300" s="77" t="s">
        <v>29</v>
      </c>
      <c r="M300" s="77" t="s">
        <v>30</v>
      </c>
      <c r="N300" s="77" t="s">
        <v>30</v>
      </c>
      <c r="O300" s="77" t="s">
        <v>31</v>
      </c>
      <c r="P300" s="77" t="s">
        <v>29</v>
      </c>
      <c r="Q300" s="77" t="s">
        <v>32</v>
      </c>
      <c r="R300" s="77" t="s">
        <v>30</v>
      </c>
      <c r="S300" s="77" t="s">
        <v>33</v>
      </c>
      <c r="T300" s="77" t="s">
        <v>93</v>
      </c>
      <c r="U300" s="9" t="s">
        <v>93</v>
      </c>
      <c r="V300" s="9"/>
      <c r="W300" s="9"/>
      <c r="X300" s="9" t="s">
        <v>1130</v>
      </c>
      <c r="Y300" s="85"/>
      <c r="Z300" s="85"/>
      <c r="AA300" s="85"/>
      <c r="AB300" s="85"/>
    </row>
    <row r="301" spans="1:28" ht="46.5" hidden="1">
      <c r="A301" s="5" t="s">
        <v>1131</v>
      </c>
      <c r="B301" s="6" t="s">
        <v>1132</v>
      </c>
      <c r="C301" s="6" t="s">
        <v>898</v>
      </c>
      <c r="D301" s="6" t="s">
        <v>1133</v>
      </c>
      <c r="E301" s="6" t="s">
        <v>1134</v>
      </c>
      <c r="F301" s="7">
        <v>46020</v>
      </c>
      <c r="G301" s="74">
        <v>46042</v>
      </c>
      <c r="H301" s="74"/>
      <c r="I301" s="74"/>
      <c r="J301" s="83"/>
      <c r="K301" s="82"/>
      <c r="L301" s="77" t="s">
        <v>30</v>
      </c>
      <c r="M301" s="77" t="s">
        <v>30</v>
      </c>
      <c r="N301" s="77" t="s">
        <v>30</v>
      </c>
      <c r="O301" s="77" t="s">
        <v>30</v>
      </c>
      <c r="P301" s="77" t="s">
        <v>30</v>
      </c>
      <c r="Q301" s="77" t="s">
        <v>30</v>
      </c>
      <c r="R301" s="77" t="s">
        <v>48</v>
      </c>
      <c r="S301" s="77" t="s">
        <v>30</v>
      </c>
      <c r="T301" s="77" t="s">
        <v>34</v>
      </c>
      <c r="U301" s="9" t="s">
        <v>35</v>
      </c>
      <c r="V301" s="9"/>
      <c r="W301" s="9"/>
      <c r="X301" s="9"/>
      <c r="Y301" s="85"/>
      <c r="Z301" s="85"/>
      <c r="AA301" s="85"/>
      <c r="AB301" s="85"/>
    </row>
    <row r="302" spans="1:28" ht="23.25" hidden="1">
      <c r="A302" s="5" t="s">
        <v>1135</v>
      </c>
      <c r="B302" s="6" t="s">
        <v>1136</v>
      </c>
      <c r="C302" s="6" t="s">
        <v>898</v>
      </c>
      <c r="D302" s="6" t="s">
        <v>1137</v>
      </c>
      <c r="E302" s="6" t="s">
        <v>1138</v>
      </c>
      <c r="F302" s="7">
        <v>46021</v>
      </c>
      <c r="G302" s="74"/>
      <c r="H302" s="74"/>
      <c r="I302" s="74"/>
      <c r="J302" s="83"/>
      <c r="K302" s="82"/>
      <c r="L302" s="77" t="s">
        <v>30</v>
      </c>
      <c r="M302" s="77" t="s">
        <v>30</v>
      </c>
      <c r="N302" s="77" t="s">
        <v>30</v>
      </c>
      <c r="O302" s="77" t="s">
        <v>30</v>
      </c>
      <c r="P302" s="77" t="s">
        <v>30</v>
      </c>
      <c r="Q302" s="77" t="s">
        <v>30</v>
      </c>
      <c r="R302" s="77" t="s">
        <v>30</v>
      </c>
      <c r="S302" s="77" t="s">
        <v>30</v>
      </c>
      <c r="T302" s="77" t="s">
        <v>34</v>
      </c>
      <c r="U302" s="9" t="s">
        <v>35</v>
      </c>
      <c r="V302" s="9"/>
      <c r="W302" s="9"/>
      <c r="X302" s="9"/>
      <c r="Y302" s="85"/>
      <c r="Z302" s="85"/>
      <c r="AA302" s="85"/>
      <c r="AB302" s="85"/>
    </row>
    <row r="303" spans="1:28" ht="24" hidden="1">
      <c r="A303" s="5" t="s">
        <v>1139</v>
      </c>
      <c r="B303" s="6" t="s">
        <v>1140</v>
      </c>
      <c r="C303" s="6" t="s">
        <v>26</v>
      </c>
      <c r="D303" s="6" t="s">
        <v>723</v>
      </c>
      <c r="E303" s="6" t="s">
        <v>1141</v>
      </c>
      <c r="F303" s="7">
        <v>46073</v>
      </c>
      <c r="G303" s="74">
        <v>46104</v>
      </c>
      <c r="H303" s="74"/>
      <c r="I303" s="74"/>
      <c r="J303" s="83">
        <f ca="1">NETWORKDAYS(F303,TODAY())</f>
        <v>33</v>
      </c>
      <c r="K303" s="82" t="str">
        <f ca="1">IF(J303&lt;30,"Menor a 30 días",IF(J303&lt;60,"Entre 30 y 60 días","Mayor a 60 días"))</f>
        <v>Entre 30 y 60 días</v>
      </c>
      <c r="L303" s="77" t="s">
        <v>29</v>
      </c>
      <c r="M303" s="77" t="s">
        <v>30</v>
      </c>
      <c r="N303" s="77" t="s">
        <v>30</v>
      </c>
      <c r="O303" s="77" t="s">
        <v>31</v>
      </c>
      <c r="P303" s="77" t="s">
        <v>93</v>
      </c>
      <c r="Q303" s="77" t="s">
        <v>32</v>
      </c>
      <c r="R303" s="77" t="s">
        <v>490</v>
      </c>
      <c r="S303" s="77" t="s">
        <v>119</v>
      </c>
      <c r="T303" s="77" t="s">
        <v>93</v>
      </c>
      <c r="U303" s="9" t="s">
        <v>93</v>
      </c>
      <c r="V303" s="9"/>
      <c r="W303" s="9"/>
      <c r="X303" s="9"/>
      <c r="Y303" s="85"/>
      <c r="Z303" s="85"/>
      <c r="AA303" s="85"/>
      <c r="AB303" s="85"/>
    </row>
    <row r="304" spans="1:28" hidden="1">
      <c r="A304" s="5" t="s">
        <v>1142</v>
      </c>
      <c r="B304" s="6" t="s">
        <v>1143</v>
      </c>
      <c r="C304" s="6" t="s">
        <v>26</v>
      </c>
      <c r="D304" s="6" t="s">
        <v>1144</v>
      </c>
      <c r="E304" s="6" t="s">
        <v>1145</v>
      </c>
      <c r="F304" s="7">
        <v>46064</v>
      </c>
      <c r="G304" s="74"/>
      <c r="H304" s="74"/>
      <c r="I304" s="74"/>
      <c r="J304" s="83">
        <f ca="1">NETWORKDAYS(F304,TODAY())</f>
        <v>40</v>
      </c>
      <c r="K304" s="82" t="str">
        <f ca="1">IF(J304&lt;30,"Menor a 30 días",IF(J304&lt;60,"Entre 30 y 60 días","Mayor a 60 días"))</f>
        <v>Entre 30 y 60 días</v>
      </c>
      <c r="L304" s="77" t="s">
        <v>176</v>
      </c>
      <c r="M304" s="77" t="s">
        <v>419</v>
      </c>
      <c r="N304" s="77" t="s">
        <v>30</v>
      </c>
      <c r="O304" s="77" t="s">
        <v>31</v>
      </c>
      <c r="P304" s="77" t="s">
        <v>93</v>
      </c>
      <c r="Q304" s="77" t="s">
        <v>30</v>
      </c>
      <c r="R304" s="77" t="s">
        <v>30</v>
      </c>
      <c r="S304" s="77" t="s">
        <v>30</v>
      </c>
      <c r="T304" s="77" t="s">
        <v>93</v>
      </c>
      <c r="U304" s="9" t="s">
        <v>93</v>
      </c>
      <c r="V304" s="9"/>
      <c r="W304" s="9"/>
      <c r="X304" s="9"/>
      <c r="Y304" s="85"/>
      <c r="Z304" s="85"/>
      <c r="AA304" s="85"/>
      <c r="AB304" s="85"/>
    </row>
    <row r="305" spans="1:28" ht="20.25">
      <c r="A305" s="5" t="s">
        <v>1146</v>
      </c>
      <c r="B305" s="6" t="s">
        <v>1147</v>
      </c>
      <c r="C305" s="6" t="s">
        <v>898</v>
      </c>
      <c r="D305" s="6" t="s">
        <v>91</v>
      </c>
      <c r="E305" s="6" t="s">
        <v>1148</v>
      </c>
      <c r="F305" s="7">
        <v>46069</v>
      </c>
      <c r="G305" s="74">
        <v>46100</v>
      </c>
      <c r="H305" s="74"/>
      <c r="I305" s="74"/>
      <c r="J305" s="83"/>
      <c r="K305" s="82"/>
      <c r="L305" s="77" t="s">
        <v>29</v>
      </c>
      <c r="M305" s="77" t="s">
        <v>30</v>
      </c>
      <c r="N305" s="77" t="s">
        <v>30</v>
      </c>
      <c r="O305" s="77" t="s">
        <v>30</v>
      </c>
      <c r="P305" s="77" t="s">
        <v>93</v>
      </c>
      <c r="Q305" s="77" t="s">
        <v>32</v>
      </c>
      <c r="R305" s="77" t="s">
        <v>30</v>
      </c>
      <c r="S305" s="77" t="s">
        <v>1149</v>
      </c>
      <c r="T305" s="77" t="s">
        <v>93</v>
      </c>
      <c r="U305" s="9" t="s">
        <v>93</v>
      </c>
      <c r="V305" s="9"/>
      <c r="W305" s="9"/>
      <c r="X305" s="9"/>
      <c r="Y305" s="85"/>
      <c r="Z305" s="85"/>
      <c r="AA305" s="85"/>
      <c r="AB305" s="85"/>
    </row>
    <row r="306" spans="1:28" ht="24" hidden="1">
      <c r="A306" s="5" t="s">
        <v>1150</v>
      </c>
      <c r="B306" s="6" t="s">
        <v>1151</v>
      </c>
      <c r="C306" s="6" t="s">
        <v>26</v>
      </c>
      <c r="D306" s="6" t="s">
        <v>54</v>
      </c>
      <c r="E306" s="6" t="s">
        <v>1152</v>
      </c>
      <c r="F306" s="7">
        <v>46052</v>
      </c>
      <c r="G306" s="74"/>
      <c r="H306" s="74">
        <v>46098</v>
      </c>
      <c r="I306" s="74"/>
      <c r="J306" s="83">
        <f ca="1">NETWORKDAYS(F306,TODAY())</f>
        <v>48</v>
      </c>
      <c r="K306" s="82" t="str">
        <f ca="1">IF(J306&lt;30,"Menor a 30 días",IF(J306&lt;60,"Entre 30 y 60 días","Mayor a 60 días"))</f>
        <v>Entre 30 y 60 días</v>
      </c>
      <c r="L306" s="77" t="s">
        <v>29</v>
      </c>
      <c r="M306" s="77" t="s">
        <v>30</v>
      </c>
      <c r="N306" s="77" t="s">
        <v>30</v>
      </c>
      <c r="O306" s="77" t="s">
        <v>31</v>
      </c>
      <c r="P306" s="77" t="s">
        <v>29</v>
      </c>
      <c r="Q306" s="77" t="s">
        <v>32</v>
      </c>
      <c r="R306" s="77" t="s">
        <v>30</v>
      </c>
      <c r="S306" s="77" t="s">
        <v>30</v>
      </c>
      <c r="T306" s="77" t="s">
        <v>34</v>
      </c>
      <c r="U306" s="9" t="s">
        <v>35</v>
      </c>
      <c r="V306" s="72"/>
      <c r="W306" s="9"/>
      <c r="X306" s="9"/>
      <c r="Y306" s="85"/>
      <c r="Z306" s="85"/>
      <c r="AA306" s="85"/>
      <c r="AB306" s="85"/>
    </row>
    <row r="307" spans="1:28" ht="20.25" hidden="1">
      <c r="A307" s="5" t="s">
        <v>1153</v>
      </c>
      <c r="B307" s="6" t="s">
        <v>1154</v>
      </c>
      <c r="C307" s="6" t="s">
        <v>898</v>
      </c>
      <c r="D307" s="6" t="s">
        <v>378</v>
      </c>
      <c r="E307" s="6" t="s">
        <v>1155</v>
      </c>
      <c r="F307" s="7">
        <v>46077</v>
      </c>
      <c r="G307" s="74">
        <v>46091</v>
      </c>
      <c r="H307" s="74">
        <v>46099</v>
      </c>
      <c r="I307" s="74">
        <v>46100</v>
      </c>
      <c r="J307" s="83"/>
      <c r="K307" s="82"/>
      <c r="L307" s="77" t="s">
        <v>30</v>
      </c>
      <c r="M307" s="77" t="s">
        <v>30</v>
      </c>
      <c r="N307" s="77" t="s">
        <v>30</v>
      </c>
      <c r="O307" s="77" t="s">
        <v>30</v>
      </c>
      <c r="P307" s="77" t="s">
        <v>30</v>
      </c>
      <c r="Q307" s="77" t="s">
        <v>32</v>
      </c>
      <c r="R307" s="77" t="s">
        <v>30</v>
      </c>
      <c r="S307" s="77" t="s">
        <v>30</v>
      </c>
      <c r="T307" s="77" t="s">
        <v>34</v>
      </c>
      <c r="U307" s="9" t="s">
        <v>35</v>
      </c>
      <c r="V307" s="72"/>
      <c r="W307" s="9"/>
      <c r="X307" s="9"/>
      <c r="Y307" s="85"/>
      <c r="Z307" s="85"/>
      <c r="AA307" s="85"/>
      <c r="AB307" s="85"/>
    </row>
    <row r="308" spans="1:28" ht="23.25" hidden="1">
      <c r="A308" s="5" t="s">
        <v>1156</v>
      </c>
      <c r="B308" s="6" t="s">
        <v>1157</v>
      </c>
      <c r="C308" s="6" t="s">
        <v>898</v>
      </c>
      <c r="D308" s="6" t="s">
        <v>1088</v>
      </c>
      <c r="E308" s="6" t="s">
        <v>1158</v>
      </c>
      <c r="F308" s="7">
        <v>46082</v>
      </c>
      <c r="G308" s="7">
        <v>46085</v>
      </c>
      <c r="H308" s="74"/>
      <c r="I308" s="74"/>
      <c r="J308" s="83"/>
      <c r="K308" s="82"/>
      <c r="L308" s="77" t="s">
        <v>29</v>
      </c>
      <c r="M308" s="77" t="s">
        <v>30</v>
      </c>
      <c r="N308" s="77" t="s">
        <v>30</v>
      </c>
      <c r="O308" s="77" t="s">
        <v>30</v>
      </c>
      <c r="P308" s="77" t="s">
        <v>30</v>
      </c>
      <c r="Q308" s="77" t="s">
        <v>30</v>
      </c>
      <c r="R308" s="77" t="s">
        <v>30</v>
      </c>
      <c r="S308" s="77" t="s">
        <v>30</v>
      </c>
      <c r="T308" s="77" t="s">
        <v>34</v>
      </c>
      <c r="U308" s="9" t="s">
        <v>35</v>
      </c>
      <c r="V308" s="72"/>
      <c r="W308" s="9"/>
      <c r="X308" s="9"/>
      <c r="Y308" s="85"/>
      <c r="Z308" s="85"/>
      <c r="AA308" s="85"/>
      <c r="AB308" s="85"/>
    </row>
    <row r="309" spans="1:28" ht="20.25" hidden="1">
      <c r="A309" s="5" t="s">
        <v>1159</v>
      </c>
      <c r="B309" s="6" t="s">
        <v>1160</v>
      </c>
      <c r="C309" s="6" t="s">
        <v>26</v>
      </c>
      <c r="D309" s="6" t="s">
        <v>775</v>
      </c>
      <c r="E309" s="6" t="s">
        <v>1161</v>
      </c>
      <c r="F309" s="7">
        <v>46084</v>
      </c>
      <c r="G309" s="74">
        <v>46114</v>
      </c>
      <c r="H309" s="74"/>
      <c r="I309" s="74"/>
      <c r="J309" s="83">
        <f ca="1">NETWORKDAYS(F309,TODAY())</f>
        <v>26</v>
      </c>
      <c r="K309" s="82" t="str">
        <f ca="1">IF(J309&lt;30,"Menor a 30 días",IF(J309&lt;60,"Entre 30 y 60 días","Mayor a 60 días"))</f>
        <v>Menor a 30 días</v>
      </c>
      <c r="L309" s="77" t="s">
        <v>29</v>
      </c>
      <c r="M309" s="77" t="s">
        <v>30</v>
      </c>
      <c r="N309" s="77" t="s">
        <v>30</v>
      </c>
      <c r="O309" s="77" t="s">
        <v>31</v>
      </c>
      <c r="P309" s="77" t="s">
        <v>93</v>
      </c>
      <c r="Q309" s="77" t="s">
        <v>143</v>
      </c>
      <c r="R309" s="77" t="s">
        <v>30</v>
      </c>
      <c r="S309" s="77" t="s">
        <v>119</v>
      </c>
      <c r="T309" s="77" t="s">
        <v>93</v>
      </c>
      <c r="U309" s="9" t="s">
        <v>93</v>
      </c>
      <c r="V309" s="72"/>
      <c r="W309" s="9"/>
      <c r="X309" s="9"/>
      <c r="Y309" s="85"/>
      <c r="Z309" s="85"/>
      <c r="AA309" s="85"/>
      <c r="AB309" s="85"/>
    </row>
    <row r="310" spans="1:28" ht="23.25" hidden="1">
      <c r="A310" s="5" t="s">
        <v>1162</v>
      </c>
      <c r="B310" s="6" t="s">
        <v>1163</v>
      </c>
      <c r="C310" s="6" t="s">
        <v>26</v>
      </c>
      <c r="D310" s="6" t="s">
        <v>1164</v>
      </c>
      <c r="E310" s="6" t="s">
        <v>1165</v>
      </c>
      <c r="F310" s="7">
        <v>46083</v>
      </c>
      <c r="G310" s="74">
        <v>46112</v>
      </c>
      <c r="H310" s="74">
        <v>46112</v>
      </c>
      <c r="I310" s="74"/>
      <c r="J310" s="83">
        <f ca="1">NETWORKDAYS(F310,TODAY())</f>
        <v>27</v>
      </c>
      <c r="K310" s="82" t="str">
        <f ca="1">IF(J310&lt;30,"Menor a 30 días",IF(J310&lt;60,"Entre 30 y 60 días","Mayor a 60 días"))</f>
        <v>Menor a 30 días</v>
      </c>
      <c r="L310" s="77" t="s">
        <v>29</v>
      </c>
      <c r="M310" s="77" t="s">
        <v>30</v>
      </c>
      <c r="N310" s="77" t="s">
        <v>30</v>
      </c>
      <c r="O310" s="77" t="s">
        <v>31</v>
      </c>
      <c r="P310" s="77" t="s">
        <v>29</v>
      </c>
      <c r="Q310" s="77" t="s">
        <v>32</v>
      </c>
      <c r="R310" s="77" t="s">
        <v>48</v>
      </c>
      <c r="S310" s="77" t="s">
        <v>1121</v>
      </c>
      <c r="T310" s="77" t="s">
        <v>93</v>
      </c>
      <c r="U310" s="9" t="s">
        <v>35</v>
      </c>
      <c r="V310" s="72"/>
      <c r="W310" s="9"/>
      <c r="X310" s="9"/>
      <c r="Y310" s="85"/>
      <c r="Z310" s="85"/>
      <c r="AA310" s="85"/>
      <c r="AB310" s="85"/>
    </row>
    <row r="311" spans="1:28" ht="34.5" hidden="1">
      <c r="A311" s="5" t="s">
        <v>1166</v>
      </c>
      <c r="B311" s="6" t="s">
        <v>1167</v>
      </c>
      <c r="C311" s="6" t="s">
        <v>26</v>
      </c>
      <c r="D311" s="6" t="s">
        <v>1168</v>
      </c>
      <c r="E311" s="6" t="s">
        <v>1169</v>
      </c>
      <c r="F311" s="7">
        <v>46083</v>
      </c>
      <c r="G311" s="74">
        <v>46114</v>
      </c>
      <c r="H311" s="74">
        <v>46099</v>
      </c>
      <c r="I311" s="74"/>
      <c r="J311" s="83">
        <f ca="1">NETWORKDAYS(F311,TODAY())</f>
        <v>27</v>
      </c>
      <c r="K311" s="82" t="str">
        <f ca="1">IF(J311&lt;30,"Menor a 30 días",IF(J311&lt;60,"Entre 30 y 60 días","Mayor a 60 días"))</f>
        <v>Menor a 30 días</v>
      </c>
      <c r="L311" s="77" t="s">
        <v>30</v>
      </c>
      <c r="M311" s="77" t="s">
        <v>30</v>
      </c>
      <c r="N311" s="77" t="s">
        <v>30</v>
      </c>
      <c r="O311" s="77" t="s">
        <v>30</v>
      </c>
      <c r="P311" s="77" t="s">
        <v>30</v>
      </c>
      <c r="Q311" s="77" t="s">
        <v>30</v>
      </c>
      <c r="R311" s="77" t="s">
        <v>48</v>
      </c>
      <c r="S311" s="77" t="s">
        <v>30</v>
      </c>
      <c r="T311" s="77" t="s">
        <v>34</v>
      </c>
      <c r="U311" s="9" t="s">
        <v>35</v>
      </c>
      <c r="V311" s="72"/>
      <c r="W311" s="9"/>
      <c r="X311" s="9"/>
      <c r="Y311" s="85"/>
      <c r="Z311" s="85"/>
      <c r="AA311" s="85"/>
      <c r="AB311" s="85"/>
    </row>
    <row r="312" spans="1:28" ht="23.25" hidden="1">
      <c r="A312" s="5" t="s">
        <v>1170</v>
      </c>
      <c r="B312" s="6" t="s">
        <v>1171</v>
      </c>
      <c r="C312" s="6" t="s">
        <v>26</v>
      </c>
      <c r="D312" s="6" t="s">
        <v>1172</v>
      </c>
      <c r="E312" s="6" t="s">
        <v>1173</v>
      </c>
      <c r="F312" s="7">
        <v>46083</v>
      </c>
      <c r="G312" s="74">
        <v>46112</v>
      </c>
      <c r="H312" s="74"/>
      <c r="I312" s="74"/>
      <c r="J312" s="83">
        <f ca="1">NETWORKDAYS(F312,TODAY())</f>
        <v>27</v>
      </c>
      <c r="K312" s="82" t="str">
        <f ca="1">IF(J312&lt;30,"Menor a 30 días",IF(J312&lt;60,"Entre 30 y 60 días","Mayor a 60 días"))</f>
        <v>Menor a 30 días</v>
      </c>
      <c r="L312" s="77" t="s">
        <v>30</v>
      </c>
      <c r="M312" s="77" t="s">
        <v>30</v>
      </c>
      <c r="N312" s="77" t="s">
        <v>30</v>
      </c>
      <c r="O312" s="77" t="s">
        <v>30</v>
      </c>
      <c r="P312" s="77" t="s">
        <v>30</v>
      </c>
      <c r="Q312" s="77" t="s">
        <v>30</v>
      </c>
      <c r="R312" s="77" t="s">
        <v>490</v>
      </c>
      <c r="S312" s="77" t="s">
        <v>30</v>
      </c>
      <c r="T312" s="77" t="s">
        <v>93</v>
      </c>
      <c r="U312" s="9" t="s">
        <v>93</v>
      </c>
      <c r="V312" s="72"/>
      <c r="W312" s="9"/>
      <c r="X312" s="9"/>
      <c r="Y312" s="85"/>
      <c r="Z312" s="85"/>
      <c r="AA312" s="85"/>
      <c r="AB312" s="85"/>
    </row>
    <row r="313" spans="1:28" hidden="1">
      <c r="A313" s="5" t="s">
        <v>1174</v>
      </c>
      <c r="B313" s="6" t="s">
        <v>1175</v>
      </c>
      <c r="C313" s="6" t="s">
        <v>26</v>
      </c>
      <c r="D313" s="6" t="s">
        <v>1176</v>
      </c>
      <c r="E313" s="6" t="s">
        <v>1177</v>
      </c>
      <c r="F313" s="7">
        <v>46085</v>
      </c>
      <c r="G313" s="74"/>
      <c r="H313" s="74">
        <v>46086</v>
      </c>
      <c r="I313" s="74"/>
      <c r="J313" s="83">
        <f ca="1">NETWORKDAYS(F313,TODAY())</f>
        <v>25</v>
      </c>
      <c r="K313" s="82" t="str">
        <f ca="1">IF(J313&lt;30,"Menor a 30 días",IF(J313&lt;60,"Entre 30 y 60 días","Mayor a 60 días"))</f>
        <v>Menor a 30 días</v>
      </c>
      <c r="L313" s="77" t="s">
        <v>30</v>
      </c>
      <c r="M313" s="77" t="s">
        <v>30</v>
      </c>
      <c r="N313" s="77" t="s">
        <v>30</v>
      </c>
      <c r="O313" s="77" t="s">
        <v>30</v>
      </c>
      <c r="P313" s="77" t="s">
        <v>30</v>
      </c>
      <c r="Q313" s="77" t="s">
        <v>30</v>
      </c>
      <c r="R313" s="77" t="s">
        <v>30</v>
      </c>
      <c r="S313" s="77" t="s">
        <v>30</v>
      </c>
      <c r="T313" s="77" t="s">
        <v>34</v>
      </c>
      <c r="U313" s="9" t="s">
        <v>35</v>
      </c>
      <c r="V313" s="72"/>
      <c r="W313" s="9"/>
      <c r="X313" s="9"/>
      <c r="Y313" s="85"/>
      <c r="Z313" s="85"/>
      <c r="AA313" s="85"/>
      <c r="AB313" s="85"/>
    </row>
    <row r="314" spans="1:28" ht="23.25" hidden="1">
      <c r="A314" s="5" t="s">
        <v>1178</v>
      </c>
      <c r="B314" s="6" t="s">
        <v>1179</v>
      </c>
      <c r="C314" s="6" t="s">
        <v>26</v>
      </c>
      <c r="D314" s="6" t="s">
        <v>39</v>
      </c>
      <c r="E314" s="6" t="s">
        <v>1169</v>
      </c>
      <c r="F314" s="7">
        <v>46085</v>
      </c>
      <c r="G314" s="74">
        <v>46091</v>
      </c>
      <c r="H314" s="74">
        <v>46093</v>
      </c>
      <c r="I314" s="74"/>
      <c r="J314" s="83">
        <f ca="1">NETWORKDAYS(F314,TODAY())</f>
        <v>25</v>
      </c>
      <c r="K314" s="82" t="str">
        <f ca="1">IF(J314&lt;30,"Menor a 30 días",IF(J314&lt;60,"Entre 30 y 60 días","Mayor a 60 días"))</f>
        <v>Menor a 30 días</v>
      </c>
      <c r="L314" s="77" t="s">
        <v>30</v>
      </c>
      <c r="M314" s="77" t="s">
        <v>30</v>
      </c>
      <c r="N314" s="77" t="s">
        <v>30</v>
      </c>
      <c r="O314" s="77" t="s">
        <v>30</v>
      </c>
      <c r="P314" s="77" t="s">
        <v>30</v>
      </c>
      <c r="Q314" s="77" t="s">
        <v>30</v>
      </c>
      <c r="R314" s="77" t="s">
        <v>30</v>
      </c>
      <c r="S314" s="77" t="s">
        <v>30</v>
      </c>
      <c r="T314" s="77" t="s">
        <v>34</v>
      </c>
      <c r="U314" s="9" t="s">
        <v>35</v>
      </c>
      <c r="V314" s="72"/>
      <c r="W314" s="9"/>
      <c r="X314" s="9"/>
      <c r="Y314" s="85"/>
      <c r="Z314" s="85"/>
      <c r="AA314" s="85"/>
      <c r="AB314" s="85"/>
    </row>
    <row r="315" spans="1:28" ht="34.5" hidden="1">
      <c r="A315" s="5" t="s">
        <v>1180</v>
      </c>
      <c r="B315" s="6" t="s">
        <v>1181</v>
      </c>
      <c r="C315" s="6" t="s">
        <v>26</v>
      </c>
      <c r="D315" s="6" t="s">
        <v>1182</v>
      </c>
      <c r="E315" s="6" t="s">
        <v>1183</v>
      </c>
      <c r="F315" s="7">
        <v>46085</v>
      </c>
      <c r="G315" s="74">
        <v>46139</v>
      </c>
      <c r="H315" s="74"/>
      <c r="I315" s="74"/>
      <c r="J315" s="83">
        <f ca="1">NETWORKDAYS(F315,TODAY())</f>
        <v>25</v>
      </c>
      <c r="K315" s="82" t="str">
        <f ca="1">IF(J315&lt;30,"Menor a 30 días",IF(J315&lt;60,"Entre 30 y 60 días","Mayor a 60 días"))</f>
        <v>Menor a 30 días</v>
      </c>
      <c r="L315" s="77" t="s">
        <v>30</v>
      </c>
      <c r="M315" s="77" t="s">
        <v>30</v>
      </c>
      <c r="N315" s="77" t="s">
        <v>30</v>
      </c>
      <c r="O315" s="77" t="s">
        <v>30</v>
      </c>
      <c r="P315" s="77" t="s">
        <v>30</v>
      </c>
      <c r="Q315" s="77" t="s">
        <v>30</v>
      </c>
      <c r="R315" s="77" t="s">
        <v>30</v>
      </c>
      <c r="S315" s="77" t="s">
        <v>30</v>
      </c>
      <c r="T315" s="77" t="s">
        <v>93</v>
      </c>
      <c r="U315" s="9" t="s">
        <v>93</v>
      </c>
      <c r="V315" s="72"/>
      <c r="W315" s="9"/>
      <c r="X315" s="9"/>
      <c r="Y315" s="85"/>
      <c r="Z315" s="85"/>
      <c r="AA315" s="85"/>
      <c r="AB315" s="85"/>
    </row>
    <row r="316" spans="1:28" ht="23.25" hidden="1">
      <c r="A316" s="5" t="s">
        <v>1184</v>
      </c>
      <c r="B316" s="6" t="s">
        <v>1185</v>
      </c>
      <c r="C316" s="6" t="s">
        <v>26</v>
      </c>
      <c r="D316" s="6" t="s">
        <v>623</v>
      </c>
      <c r="E316" s="6" t="s">
        <v>1186</v>
      </c>
      <c r="F316" s="7">
        <v>46092</v>
      </c>
      <c r="G316" s="74">
        <v>46121</v>
      </c>
      <c r="H316" s="74"/>
      <c r="I316" s="74"/>
      <c r="J316" s="83">
        <f ca="1">NETWORKDAYS(F316,TODAY())</f>
        <v>20</v>
      </c>
      <c r="K316" s="82" t="str">
        <f ca="1">IF(J316&lt;30,"Menor a 30 días",IF(J316&lt;60,"Entre 30 y 60 días","Mayor a 60 días"))</f>
        <v>Menor a 30 días</v>
      </c>
      <c r="L316" s="77" t="s">
        <v>30</v>
      </c>
      <c r="M316" s="77" t="s">
        <v>30</v>
      </c>
      <c r="N316" s="77" t="s">
        <v>30</v>
      </c>
      <c r="O316" s="77" t="s">
        <v>30</v>
      </c>
      <c r="P316" s="77" t="s">
        <v>30</v>
      </c>
      <c r="Q316" s="77" t="s">
        <v>30</v>
      </c>
      <c r="R316" s="77" t="s">
        <v>359</v>
      </c>
      <c r="S316" s="77" t="s">
        <v>30</v>
      </c>
      <c r="T316" s="77" t="s">
        <v>93</v>
      </c>
      <c r="U316" s="9" t="s">
        <v>93</v>
      </c>
      <c r="V316" s="72"/>
      <c r="W316" s="9"/>
      <c r="X316" s="9"/>
      <c r="Y316" s="85"/>
      <c r="Z316" s="85"/>
      <c r="AA316" s="85"/>
      <c r="AB316" s="85"/>
    </row>
    <row r="317" spans="1:28" ht="34.5" hidden="1">
      <c r="A317" s="5" t="s">
        <v>1187</v>
      </c>
      <c r="B317" s="6" t="s">
        <v>1188</v>
      </c>
      <c r="C317" s="6" t="s">
        <v>26</v>
      </c>
      <c r="D317" s="6" t="s">
        <v>1189</v>
      </c>
      <c r="E317" s="6" t="s">
        <v>1190</v>
      </c>
      <c r="F317" s="7">
        <v>46092</v>
      </c>
      <c r="G317" s="74">
        <v>46118</v>
      </c>
      <c r="H317" s="74">
        <v>46107</v>
      </c>
      <c r="I317" s="74">
        <v>46112</v>
      </c>
      <c r="J317" s="83">
        <f ca="1">NETWORKDAYS(F317,TODAY())</f>
        <v>20</v>
      </c>
      <c r="K317" s="82" t="str">
        <f ca="1">IF(J317&lt;30,"Menor a 30 días",IF(J317&lt;60,"Entre 30 y 60 días","Mayor a 60 días"))</f>
        <v>Menor a 30 días</v>
      </c>
      <c r="L317" s="77" t="s">
        <v>176</v>
      </c>
      <c r="M317" s="77" t="s">
        <v>30</v>
      </c>
      <c r="N317" s="77" t="s">
        <v>30</v>
      </c>
      <c r="O317" s="77" t="s">
        <v>31</v>
      </c>
      <c r="P317" s="77" t="s">
        <v>29</v>
      </c>
      <c r="Q317" s="77" t="s">
        <v>32</v>
      </c>
      <c r="R317" s="77" t="s">
        <v>30</v>
      </c>
      <c r="S317" s="77" t="s">
        <v>33</v>
      </c>
      <c r="T317" s="77" t="s">
        <v>34</v>
      </c>
      <c r="U317" s="9" t="s">
        <v>35</v>
      </c>
      <c r="V317" s="72"/>
      <c r="W317" s="9"/>
      <c r="X317" s="9"/>
      <c r="Y317" s="85"/>
      <c r="Z317" s="85"/>
      <c r="AA317" s="85"/>
      <c r="AB317" s="85"/>
    </row>
    <row r="318" spans="1:28" hidden="1">
      <c r="A318" s="5" t="s">
        <v>1191</v>
      </c>
      <c r="B318" s="6" t="s">
        <v>1192</v>
      </c>
      <c r="C318" s="6" t="s">
        <v>26</v>
      </c>
      <c r="D318" s="6" t="s">
        <v>1193</v>
      </c>
      <c r="E318" s="6" t="s">
        <v>1194</v>
      </c>
      <c r="F318" s="7">
        <v>46092</v>
      </c>
      <c r="G318" s="74">
        <v>46099</v>
      </c>
      <c r="H318" s="74">
        <v>46093</v>
      </c>
      <c r="I318" s="74"/>
      <c r="J318" s="83">
        <f ca="1">NETWORKDAYS(F318,TODAY())</f>
        <v>20</v>
      </c>
      <c r="K318" s="82" t="str">
        <f ca="1">IF(J318&lt;30,"Menor a 30 días",IF(J318&lt;60,"Entre 30 y 60 días","Mayor a 60 días"))</f>
        <v>Menor a 30 días</v>
      </c>
      <c r="L318" s="77" t="s">
        <v>30</v>
      </c>
      <c r="M318" s="77" t="s">
        <v>30</v>
      </c>
      <c r="N318" s="77" t="s">
        <v>30</v>
      </c>
      <c r="O318" s="77" t="s">
        <v>30</v>
      </c>
      <c r="P318" s="77" t="s">
        <v>30</v>
      </c>
      <c r="Q318" s="77" t="s">
        <v>30</v>
      </c>
      <c r="R318" s="77" t="s">
        <v>30</v>
      </c>
      <c r="S318" s="77" t="s">
        <v>30</v>
      </c>
      <c r="T318" s="77" t="s">
        <v>34</v>
      </c>
      <c r="U318" s="9" t="s">
        <v>35</v>
      </c>
      <c r="V318" s="72"/>
      <c r="W318" s="9"/>
      <c r="X318" s="9"/>
      <c r="Y318" s="85"/>
      <c r="Z318" s="85"/>
      <c r="AA318" s="85"/>
      <c r="AB318" s="85"/>
    </row>
    <row r="319" spans="1:28" ht="20.25" hidden="1">
      <c r="A319" s="5" t="s">
        <v>1195</v>
      </c>
      <c r="B319" s="6" t="s">
        <v>1196</v>
      </c>
      <c r="C319" s="6" t="s">
        <v>26</v>
      </c>
      <c r="D319" s="6" t="s">
        <v>460</v>
      </c>
      <c r="E319" s="6" t="s">
        <v>1197</v>
      </c>
      <c r="F319" s="7">
        <v>46093</v>
      </c>
      <c r="G319" s="74">
        <v>46120</v>
      </c>
      <c r="H319" s="74">
        <v>46108</v>
      </c>
      <c r="I319" s="74">
        <v>46112</v>
      </c>
      <c r="J319" s="83">
        <f ca="1">NETWORKDAYS(F319,TODAY())</f>
        <v>19</v>
      </c>
      <c r="K319" s="82" t="str">
        <f ca="1">IF(J319&lt;30,"Menor a 30 días",IF(J319&lt;60,"Entre 30 y 60 días","Mayor a 60 días"))</f>
        <v>Menor a 30 días</v>
      </c>
      <c r="L319" s="77" t="s">
        <v>29</v>
      </c>
      <c r="M319" s="77" t="s">
        <v>30</v>
      </c>
      <c r="N319" s="77" t="s">
        <v>30</v>
      </c>
      <c r="O319" s="77" t="s">
        <v>31</v>
      </c>
      <c r="P319" s="77" t="s">
        <v>29</v>
      </c>
      <c r="Q319" s="77" t="s">
        <v>32</v>
      </c>
      <c r="R319" s="77" t="s">
        <v>30</v>
      </c>
      <c r="S319" s="77" t="s">
        <v>33</v>
      </c>
      <c r="T319" s="77" t="s">
        <v>34</v>
      </c>
      <c r="U319" s="9" t="s">
        <v>35</v>
      </c>
      <c r="V319" s="72"/>
      <c r="W319" s="9"/>
      <c r="X319" s="9"/>
      <c r="Y319" s="85"/>
      <c r="Z319" s="85"/>
      <c r="AA319" s="85"/>
      <c r="AB319" s="85"/>
    </row>
    <row r="320" spans="1:28" hidden="1">
      <c r="A320" s="5" t="s">
        <v>1198</v>
      </c>
      <c r="B320" s="6" t="s">
        <v>1199</v>
      </c>
      <c r="C320" s="6" t="s">
        <v>26</v>
      </c>
      <c r="D320" s="6" t="s">
        <v>1200</v>
      </c>
      <c r="E320" s="6" t="s">
        <v>666</v>
      </c>
      <c r="F320" s="7">
        <v>46090</v>
      </c>
      <c r="G320" s="74"/>
      <c r="H320" s="74">
        <v>46117</v>
      </c>
      <c r="I320" s="74">
        <v>46118</v>
      </c>
      <c r="J320" s="83">
        <f ca="1">NETWORKDAYS(F320,TODAY())</f>
        <v>22</v>
      </c>
      <c r="K320" s="82" t="str">
        <f ca="1">IF(J320&lt;30,"Menor a 30 días",IF(J320&lt;60,"Entre 30 y 60 días","Mayor a 60 días"))</f>
        <v>Menor a 30 días</v>
      </c>
      <c r="L320" s="77" t="s">
        <v>30</v>
      </c>
      <c r="M320" s="77" t="s">
        <v>30</v>
      </c>
      <c r="N320" s="77" t="s">
        <v>30</v>
      </c>
      <c r="O320" s="77" t="s">
        <v>30</v>
      </c>
      <c r="P320" s="77" t="s">
        <v>30</v>
      </c>
      <c r="Q320" s="77" t="s">
        <v>30</v>
      </c>
      <c r="R320" s="77" t="s">
        <v>30</v>
      </c>
      <c r="S320" s="77" t="s">
        <v>30</v>
      </c>
      <c r="T320" s="77" t="s">
        <v>34</v>
      </c>
      <c r="U320" s="9" t="s">
        <v>35</v>
      </c>
      <c r="V320" s="72"/>
      <c r="W320" s="9"/>
      <c r="X320" s="9"/>
      <c r="Y320" s="85"/>
      <c r="Z320" s="85"/>
      <c r="AA320" s="85"/>
      <c r="AB320" s="85"/>
    </row>
    <row r="321" spans="1:28" hidden="1">
      <c r="A321" s="5" t="s">
        <v>1201</v>
      </c>
      <c r="B321" s="6" t="s">
        <v>1202</v>
      </c>
      <c r="C321" s="6" t="s">
        <v>26</v>
      </c>
      <c r="D321" s="6" t="s">
        <v>485</v>
      </c>
      <c r="E321" s="6" t="s">
        <v>666</v>
      </c>
      <c r="F321" s="7">
        <v>46098</v>
      </c>
      <c r="G321" s="74"/>
      <c r="H321" s="74">
        <v>46104</v>
      </c>
      <c r="I321" s="74"/>
      <c r="J321" s="83">
        <f ca="1">NETWORKDAYS(F321,TODAY())</f>
        <v>16</v>
      </c>
      <c r="K321" s="82" t="str">
        <f ca="1">IF(J321&lt;30,"Menor a 30 días",IF(J321&lt;60,"Entre 30 y 60 días","Mayor a 60 días"))</f>
        <v>Menor a 30 días</v>
      </c>
      <c r="L321" s="77" t="s">
        <v>29</v>
      </c>
      <c r="M321" s="77" t="s">
        <v>30</v>
      </c>
      <c r="N321" s="77" t="s">
        <v>30</v>
      </c>
      <c r="O321" s="77" t="s">
        <v>30</v>
      </c>
      <c r="P321" s="77" t="s">
        <v>30</v>
      </c>
      <c r="Q321" s="77" t="s">
        <v>30</v>
      </c>
      <c r="R321" s="77" t="s">
        <v>30</v>
      </c>
      <c r="S321" s="77" t="s">
        <v>30</v>
      </c>
      <c r="T321" s="77" t="s">
        <v>34</v>
      </c>
      <c r="U321" s="9" t="s">
        <v>35</v>
      </c>
      <c r="V321" s="72"/>
      <c r="W321" s="9"/>
      <c r="X321" s="9"/>
      <c r="Y321" s="85"/>
      <c r="Z321" s="85"/>
      <c r="AA321" s="85"/>
      <c r="AB321" s="85"/>
    </row>
    <row r="322" spans="1:28" hidden="1">
      <c r="A322" s="5" t="s">
        <v>1203</v>
      </c>
      <c r="B322" s="6" t="s">
        <v>1204</v>
      </c>
      <c r="C322" s="6" t="s">
        <v>898</v>
      </c>
      <c r="D322" s="6" t="s">
        <v>199</v>
      </c>
      <c r="E322" s="6" t="s">
        <v>1205</v>
      </c>
      <c r="F322" s="7">
        <v>46092</v>
      </c>
      <c r="G322" s="74">
        <v>46101</v>
      </c>
      <c r="H322" s="74">
        <v>46095</v>
      </c>
      <c r="I322" s="74">
        <v>46099</v>
      </c>
      <c r="J322" s="83"/>
      <c r="K322" s="82"/>
      <c r="L322" s="77" t="s">
        <v>30</v>
      </c>
      <c r="M322" s="77" t="s">
        <v>30</v>
      </c>
      <c r="N322" s="77" t="s">
        <v>30</v>
      </c>
      <c r="O322" s="77" t="s">
        <v>30</v>
      </c>
      <c r="P322" s="77" t="s">
        <v>30</v>
      </c>
      <c r="Q322" s="77" t="s">
        <v>30</v>
      </c>
      <c r="R322" s="77" t="s">
        <v>30</v>
      </c>
      <c r="S322" s="77" t="s">
        <v>30</v>
      </c>
      <c r="T322" s="77" t="s">
        <v>34</v>
      </c>
      <c r="U322" s="9" t="s">
        <v>35</v>
      </c>
      <c r="V322" s="72"/>
      <c r="W322" s="9"/>
      <c r="X322" s="9"/>
      <c r="Y322" s="85"/>
      <c r="Z322" s="85"/>
      <c r="AA322" s="85"/>
      <c r="AB322" s="85"/>
    </row>
    <row r="323" spans="1:28" hidden="1">
      <c r="A323" s="5" t="s">
        <v>1206</v>
      </c>
      <c r="B323" s="6" t="s">
        <v>1204</v>
      </c>
      <c r="C323" s="6" t="s">
        <v>898</v>
      </c>
      <c r="D323" s="6" t="s">
        <v>199</v>
      </c>
      <c r="E323" s="6" t="s">
        <v>1207</v>
      </c>
      <c r="F323" s="7">
        <v>46092</v>
      </c>
      <c r="G323" s="74">
        <v>46101</v>
      </c>
      <c r="H323" s="74">
        <v>46095</v>
      </c>
      <c r="I323" s="74">
        <v>46099</v>
      </c>
      <c r="J323" s="83"/>
      <c r="K323" s="82"/>
      <c r="L323" s="77" t="s">
        <v>30</v>
      </c>
      <c r="M323" s="77" t="s">
        <v>30</v>
      </c>
      <c r="N323" s="77" t="s">
        <v>30</v>
      </c>
      <c r="O323" s="77" t="s">
        <v>30</v>
      </c>
      <c r="P323" s="77" t="s">
        <v>30</v>
      </c>
      <c r="Q323" s="77" t="s">
        <v>30</v>
      </c>
      <c r="R323" s="77" t="s">
        <v>30</v>
      </c>
      <c r="S323" s="77" t="s">
        <v>30</v>
      </c>
      <c r="T323" s="77" t="s">
        <v>34</v>
      </c>
      <c r="U323" s="9" t="s">
        <v>35</v>
      </c>
      <c r="V323" s="72"/>
      <c r="W323" s="9"/>
      <c r="X323" s="9"/>
      <c r="Y323" s="85"/>
      <c r="Z323" s="85"/>
      <c r="AA323" s="85"/>
      <c r="AB323" s="85"/>
    </row>
    <row r="324" spans="1:28" ht="34.5">
      <c r="A324" s="5" t="s">
        <v>1208</v>
      </c>
      <c r="B324" s="6" t="s">
        <v>1209</v>
      </c>
      <c r="C324" s="6" t="s">
        <v>898</v>
      </c>
      <c r="D324" s="6" t="s">
        <v>1210</v>
      </c>
      <c r="E324" s="6" t="s">
        <v>1207</v>
      </c>
      <c r="F324" s="7">
        <v>46092</v>
      </c>
      <c r="G324" s="74">
        <v>46124</v>
      </c>
      <c r="H324" s="74"/>
      <c r="I324" s="74"/>
      <c r="J324" s="83"/>
      <c r="K324" s="82"/>
      <c r="L324" s="77" t="s">
        <v>30</v>
      </c>
      <c r="M324" s="77" t="s">
        <v>30</v>
      </c>
      <c r="N324" s="77" t="s">
        <v>30</v>
      </c>
      <c r="O324" s="77" t="s">
        <v>31</v>
      </c>
      <c r="P324" s="77" t="s">
        <v>93</v>
      </c>
      <c r="Q324" s="77" t="s">
        <v>30</v>
      </c>
      <c r="R324" s="77" t="s">
        <v>48</v>
      </c>
      <c r="S324" s="77" t="s">
        <v>30</v>
      </c>
      <c r="T324" s="77" t="s">
        <v>93</v>
      </c>
      <c r="U324" s="9" t="s">
        <v>93</v>
      </c>
      <c r="V324" s="72"/>
      <c r="W324" s="9"/>
      <c r="X324" s="9"/>
      <c r="Y324" s="85"/>
      <c r="Z324" s="85"/>
      <c r="AA324" s="85"/>
      <c r="AB324" s="85"/>
    </row>
    <row r="325" spans="1:28">
      <c r="A325" s="5" t="s">
        <v>1211</v>
      </c>
      <c r="B325" s="6" t="s">
        <v>1212</v>
      </c>
      <c r="C325" s="6" t="s">
        <v>898</v>
      </c>
      <c r="D325" s="6" t="s">
        <v>1213</v>
      </c>
      <c r="E325" s="6" t="s">
        <v>1214</v>
      </c>
      <c r="F325" s="7">
        <v>46085</v>
      </c>
      <c r="G325" s="74">
        <v>46132</v>
      </c>
      <c r="H325" s="74"/>
      <c r="I325" s="74"/>
      <c r="J325" s="83"/>
      <c r="K325" s="82"/>
      <c r="L325" s="77" t="s">
        <v>29</v>
      </c>
      <c r="M325" s="77" t="s">
        <v>30</v>
      </c>
      <c r="N325" s="77" t="s">
        <v>30</v>
      </c>
      <c r="O325" s="77" t="s">
        <v>30</v>
      </c>
      <c r="P325" s="77" t="s">
        <v>30</v>
      </c>
      <c r="Q325" s="77" t="s">
        <v>30</v>
      </c>
      <c r="R325" s="77" t="s">
        <v>324</v>
      </c>
      <c r="S325" s="77" t="s">
        <v>30</v>
      </c>
      <c r="T325" s="77" t="s">
        <v>93</v>
      </c>
      <c r="U325" s="9" t="s">
        <v>93</v>
      </c>
      <c r="V325" s="72"/>
      <c r="W325" s="9"/>
      <c r="X325" s="9"/>
      <c r="Y325" s="85"/>
      <c r="Z325" s="85"/>
      <c r="AA325" s="85"/>
      <c r="AB325" s="85"/>
    </row>
    <row r="326" spans="1:28" ht="34.5">
      <c r="A326" s="5" t="s">
        <v>1215</v>
      </c>
      <c r="B326" s="6" t="s">
        <v>1212</v>
      </c>
      <c r="C326" s="6" t="s">
        <v>898</v>
      </c>
      <c r="D326" s="6" t="s">
        <v>1216</v>
      </c>
      <c r="E326" s="198" t="s">
        <v>1217</v>
      </c>
      <c r="F326" s="7">
        <v>46085</v>
      </c>
      <c r="G326" s="74">
        <v>46119</v>
      </c>
      <c r="H326" s="74"/>
      <c r="I326" s="74"/>
      <c r="J326" s="83"/>
      <c r="K326" s="82"/>
      <c r="L326" s="77" t="s">
        <v>29</v>
      </c>
      <c r="M326" s="77" t="s">
        <v>419</v>
      </c>
      <c r="N326" s="77" t="s">
        <v>30</v>
      </c>
      <c r="O326" s="77" t="s">
        <v>31</v>
      </c>
      <c r="P326" s="77" t="s">
        <v>93</v>
      </c>
      <c r="Q326" s="77" t="s">
        <v>1120</v>
      </c>
      <c r="R326" s="77" t="s">
        <v>490</v>
      </c>
      <c r="S326" s="77" t="s">
        <v>1149</v>
      </c>
      <c r="T326" s="77" t="s">
        <v>93</v>
      </c>
      <c r="U326" s="9" t="s">
        <v>93</v>
      </c>
      <c r="V326" s="72"/>
      <c r="W326" s="9"/>
      <c r="X326" s="9"/>
      <c r="Y326" s="85"/>
      <c r="Z326" s="85"/>
      <c r="AA326" s="85"/>
      <c r="AB326" s="85"/>
    </row>
    <row r="327" spans="1:28" ht="34.5">
      <c r="A327" s="5" t="s">
        <v>1218</v>
      </c>
      <c r="B327" s="6" t="s">
        <v>1219</v>
      </c>
      <c r="C327" s="6" t="s">
        <v>898</v>
      </c>
      <c r="D327" s="6" t="s">
        <v>1128</v>
      </c>
      <c r="E327" s="6" t="s">
        <v>1220</v>
      </c>
      <c r="F327" s="7">
        <v>46092</v>
      </c>
      <c r="G327" s="74">
        <v>46095</v>
      </c>
      <c r="H327" s="74"/>
      <c r="I327" s="74"/>
      <c r="J327" s="83"/>
      <c r="K327" s="82"/>
      <c r="L327" s="77" t="s">
        <v>29</v>
      </c>
      <c r="M327" s="77" t="s">
        <v>30</v>
      </c>
      <c r="N327" s="77" t="s">
        <v>30</v>
      </c>
      <c r="O327" s="77" t="s">
        <v>142</v>
      </c>
      <c r="P327" s="77" t="s">
        <v>142</v>
      </c>
      <c r="Q327" s="77" t="s">
        <v>239</v>
      </c>
      <c r="R327" s="77" t="s">
        <v>30</v>
      </c>
      <c r="S327" s="77" t="s">
        <v>119</v>
      </c>
      <c r="T327" s="77" t="s">
        <v>93</v>
      </c>
      <c r="U327" s="9" t="s">
        <v>93</v>
      </c>
      <c r="V327" s="72"/>
      <c r="W327" s="9"/>
      <c r="X327" s="9"/>
      <c r="Y327" s="85"/>
      <c r="Z327" s="85"/>
      <c r="AA327" s="85"/>
      <c r="AB327" s="85"/>
    </row>
    <row r="328" spans="1:28" ht="23.25" hidden="1">
      <c r="A328" s="5" t="s">
        <v>1221</v>
      </c>
      <c r="B328" s="6" t="s">
        <v>1222</v>
      </c>
      <c r="C328" s="6" t="s">
        <v>26</v>
      </c>
      <c r="D328" s="6" t="s">
        <v>199</v>
      </c>
      <c r="E328" s="6" t="s">
        <v>1223</v>
      </c>
      <c r="F328" s="7">
        <v>46099</v>
      </c>
      <c r="G328" s="74"/>
      <c r="H328" s="74">
        <v>46094</v>
      </c>
      <c r="I328" s="74"/>
      <c r="J328" s="83">
        <f ca="1">NETWORKDAYS(F328,TODAY())</f>
        <v>15</v>
      </c>
      <c r="K328" s="82" t="str">
        <f ca="1">IF(J328&lt;30,"Menor a 30 días",IF(J328&lt;60,"Entre 30 y 60 días","Mayor a 60 días"))</f>
        <v>Menor a 30 días</v>
      </c>
      <c r="L328" s="77" t="s">
        <v>30</v>
      </c>
      <c r="M328" s="77" t="s">
        <v>30</v>
      </c>
      <c r="N328" s="77" t="s">
        <v>30</v>
      </c>
      <c r="O328" s="77" t="s">
        <v>30</v>
      </c>
      <c r="P328" s="77" t="s">
        <v>30</v>
      </c>
      <c r="Q328" s="77" t="s">
        <v>30</v>
      </c>
      <c r="R328" s="77" t="s">
        <v>30</v>
      </c>
      <c r="S328" s="77" t="s">
        <v>30</v>
      </c>
      <c r="T328" s="77" t="s">
        <v>34</v>
      </c>
      <c r="U328" s="9" t="s">
        <v>35</v>
      </c>
      <c r="V328" s="72"/>
      <c r="W328" s="9"/>
      <c r="X328" s="9"/>
      <c r="Y328" s="85"/>
      <c r="Z328" s="85"/>
      <c r="AA328" s="85"/>
      <c r="AB328" s="85"/>
    </row>
    <row r="329" spans="1:28" hidden="1">
      <c r="A329" s="5" t="s">
        <v>1224</v>
      </c>
      <c r="B329" s="6"/>
      <c r="C329" s="6"/>
      <c r="D329" s="6"/>
      <c r="E329" s="6"/>
      <c r="F329" s="7"/>
      <c r="G329" s="74"/>
      <c r="H329" s="74"/>
      <c r="I329" s="74"/>
      <c r="J329" s="83"/>
      <c r="K329" s="82"/>
      <c r="L329" s="77"/>
      <c r="M329" s="77"/>
      <c r="N329" s="77"/>
      <c r="O329" s="77"/>
      <c r="P329" s="77"/>
      <c r="Q329" s="77"/>
      <c r="R329" s="77"/>
      <c r="S329" s="77"/>
      <c r="T329" s="77"/>
      <c r="U329" s="9"/>
      <c r="V329" s="72"/>
      <c r="W329" s="9"/>
      <c r="X329" s="9"/>
      <c r="Y329" s="85"/>
      <c r="Z329" s="85"/>
      <c r="AA329" s="85"/>
      <c r="AB329" s="85"/>
    </row>
    <row r="330" spans="1:28" hidden="1">
      <c r="A330" s="5" t="s">
        <v>1225</v>
      </c>
      <c r="B330" s="6" t="s">
        <v>1202</v>
      </c>
      <c r="C330" s="6" t="s">
        <v>26</v>
      </c>
      <c r="D330" s="6" t="s">
        <v>485</v>
      </c>
      <c r="E330" s="6" t="s">
        <v>666</v>
      </c>
      <c r="F330" s="7">
        <v>46098</v>
      </c>
      <c r="G330" s="74"/>
      <c r="H330" s="74">
        <v>46119</v>
      </c>
      <c r="I330" s="74"/>
      <c r="J330" s="83">
        <f ca="1">NETWORKDAYS(F330,TODAY())</f>
        <v>16</v>
      </c>
      <c r="K330" s="82" t="str">
        <f ca="1">IF(J330&lt;30,"Menor a 30 días",IF(J330&lt;60,"Entre 30 y 60 días","Mayor a 60 días"))</f>
        <v>Menor a 30 días</v>
      </c>
      <c r="L330" s="77" t="s">
        <v>29</v>
      </c>
      <c r="M330" s="77" t="s">
        <v>30</v>
      </c>
      <c r="N330" s="77" t="s">
        <v>30</v>
      </c>
      <c r="O330" s="77" t="s">
        <v>30</v>
      </c>
      <c r="P330" s="77" t="s">
        <v>30</v>
      </c>
      <c r="Q330" s="77" t="s">
        <v>30</v>
      </c>
      <c r="R330" s="77" t="s">
        <v>30</v>
      </c>
      <c r="S330" s="77" t="s">
        <v>30</v>
      </c>
      <c r="T330" s="77" t="s">
        <v>34</v>
      </c>
      <c r="U330" s="9" t="s">
        <v>35</v>
      </c>
      <c r="V330" s="72"/>
      <c r="W330" s="9"/>
      <c r="X330" s="9"/>
      <c r="Y330" s="85"/>
      <c r="Z330" s="85"/>
      <c r="AA330" s="85"/>
      <c r="AB330" s="85"/>
    </row>
    <row r="331" spans="1:28" ht="20.25">
      <c r="A331" s="5" t="s">
        <v>1226</v>
      </c>
      <c r="B331" s="6" t="s">
        <v>1227</v>
      </c>
      <c r="C331" s="6" t="s">
        <v>898</v>
      </c>
      <c r="D331" s="6" t="s">
        <v>1228</v>
      </c>
      <c r="E331" s="6" t="s">
        <v>1229</v>
      </c>
      <c r="F331" s="7">
        <v>46091</v>
      </c>
      <c r="G331" s="74">
        <v>46134</v>
      </c>
      <c r="H331" s="74"/>
      <c r="I331" s="74"/>
      <c r="J331" s="83"/>
      <c r="K331" s="82"/>
      <c r="L331" s="77" t="s">
        <v>30</v>
      </c>
      <c r="M331" s="77" t="s">
        <v>30</v>
      </c>
      <c r="N331" s="77" t="s">
        <v>30</v>
      </c>
      <c r="O331" s="77" t="s">
        <v>30</v>
      </c>
      <c r="P331" s="77" t="s">
        <v>30</v>
      </c>
      <c r="Q331" s="77" t="s">
        <v>30</v>
      </c>
      <c r="R331" s="77" t="s">
        <v>48</v>
      </c>
      <c r="S331" s="77" t="s">
        <v>30</v>
      </c>
      <c r="T331" s="77" t="s">
        <v>93</v>
      </c>
      <c r="U331" s="9" t="s">
        <v>93</v>
      </c>
      <c r="V331" s="72"/>
      <c r="W331" s="9"/>
      <c r="X331" s="9"/>
      <c r="Y331" s="85"/>
      <c r="Z331" s="85"/>
      <c r="AA331" s="85"/>
      <c r="AB331" s="85"/>
    </row>
    <row r="332" spans="1:28" ht="46.5">
      <c r="A332" s="5" t="s">
        <v>1230</v>
      </c>
      <c r="B332" s="6" t="s">
        <v>1227</v>
      </c>
      <c r="C332" s="6" t="s">
        <v>898</v>
      </c>
      <c r="D332" s="6" t="s">
        <v>1231</v>
      </c>
      <c r="E332" s="6" t="s">
        <v>1232</v>
      </c>
      <c r="F332" s="7">
        <v>46090</v>
      </c>
      <c r="G332" s="74">
        <v>46135</v>
      </c>
      <c r="H332" s="74"/>
      <c r="I332" s="74"/>
      <c r="J332" s="83"/>
      <c r="K332" s="82"/>
      <c r="L332" s="77" t="s">
        <v>30</v>
      </c>
      <c r="M332" s="77" t="s">
        <v>30</v>
      </c>
      <c r="N332" s="77" t="s">
        <v>30</v>
      </c>
      <c r="O332" s="77" t="s">
        <v>30</v>
      </c>
      <c r="P332" s="77" t="s">
        <v>30</v>
      </c>
      <c r="Q332" s="77" t="s">
        <v>32</v>
      </c>
      <c r="R332" s="77" t="s">
        <v>48</v>
      </c>
      <c r="S332" s="77" t="s">
        <v>30</v>
      </c>
      <c r="T332" s="77" t="s">
        <v>93</v>
      </c>
      <c r="U332" s="9" t="s">
        <v>93</v>
      </c>
      <c r="V332" s="72"/>
      <c r="W332" s="9"/>
      <c r="X332" s="9"/>
      <c r="Y332" s="85"/>
      <c r="Z332" s="85"/>
      <c r="AA332" s="85"/>
      <c r="AB332" s="85"/>
    </row>
    <row r="333" spans="1:28">
      <c r="A333" s="5" t="s">
        <v>1224</v>
      </c>
      <c r="B333" s="6" t="s">
        <v>1227</v>
      </c>
      <c r="C333" s="6" t="s">
        <v>898</v>
      </c>
      <c r="D333" s="6" t="s">
        <v>39</v>
      </c>
      <c r="E333" s="6" t="s">
        <v>1229</v>
      </c>
      <c r="F333" s="7">
        <v>46090</v>
      </c>
      <c r="G333" s="74">
        <v>46136</v>
      </c>
      <c r="H333" s="74"/>
      <c r="I333" s="74"/>
      <c r="J333" s="83"/>
      <c r="K333" s="82"/>
      <c r="L333" s="77" t="s">
        <v>30</v>
      </c>
      <c r="M333" s="77" t="s">
        <v>30</v>
      </c>
      <c r="N333" s="77" t="s">
        <v>30</v>
      </c>
      <c r="O333" s="77" t="s">
        <v>30</v>
      </c>
      <c r="P333" s="77" t="s">
        <v>30</v>
      </c>
      <c r="Q333" s="77" t="s">
        <v>30</v>
      </c>
      <c r="R333" s="77" t="s">
        <v>30</v>
      </c>
      <c r="S333" s="77" t="s">
        <v>30</v>
      </c>
      <c r="T333" s="77" t="s">
        <v>93</v>
      </c>
      <c r="U333" s="9" t="s">
        <v>93</v>
      </c>
      <c r="V333" s="72"/>
      <c r="W333" s="9"/>
      <c r="X333" s="9"/>
      <c r="Y333" s="85"/>
      <c r="Z333" s="85"/>
      <c r="AA333" s="85"/>
      <c r="AB333" s="85"/>
    </row>
    <row r="334" spans="1:28" ht="34.5" hidden="1">
      <c r="A334" s="5" t="s">
        <v>1233</v>
      </c>
      <c r="B334" s="6" t="s">
        <v>1234</v>
      </c>
      <c r="C334" s="6" t="s">
        <v>26</v>
      </c>
      <c r="D334" s="6" t="s">
        <v>1235</v>
      </c>
      <c r="E334" s="6" t="s">
        <v>1236</v>
      </c>
      <c r="F334" s="7">
        <v>46101</v>
      </c>
      <c r="G334" s="74">
        <v>46132</v>
      </c>
      <c r="H334" s="74"/>
      <c r="I334" s="74"/>
      <c r="J334" s="83">
        <f ca="1">NETWORKDAYS(F334,TODAY())</f>
        <v>13</v>
      </c>
      <c r="K334" s="82" t="str">
        <f ca="1">IF(J334&lt;30,"Menor a 30 días",IF(J334&lt;60,"Entre 30 y 60 días","Mayor a 60 días"))</f>
        <v>Menor a 30 días</v>
      </c>
      <c r="L334" s="77" t="s">
        <v>30</v>
      </c>
      <c r="M334" s="77" t="s">
        <v>30</v>
      </c>
      <c r="N334" s="77" t="s">
        <v>30</v>
      </c>
      <c r="O334" s="77" t="s">
        <v>30</v>
      </c>
      <c r="P334" s="77" t="s">
        <v>30</v>
      </c>
      <c r="Q334" s="77" t="s">
        <v>30</v>
      </c>
      <c r="R334" s="77" t="s">
        <v>324</v>
      </c>
      <c r="S334" s="77" t="s">
        <v>30</v>
      </c>
      <c r="T334" s="77" t="s">
        <v>93</v>
      </c>
      <c r="U334" s="9" t="s">
        <v>93</v>
      </c>
      <c r="V334" s="72"/>
      <c r="W334" s="9"/>
      <c r="X334" s="9"/>
      <c r="Y334" s="85"/>
      <c r="Z334" s="85"/>
      <c r="AA334" s="85"/>
      <c r="AB334" s="85"/>
    </row>
    <row r="335" spans="1:28" ht="20.25" hidden="1">
      <c r="A335" s="5" t="s">
        <v>1237</v>
      </c>
      <c r="B335" s="6" t="s">
        <v>1238</v>
      </c>
      <c r="C335" s="6" t="s">
        <v>26</v>
      </c>
      <c r="D335" s="6" t="s">
        <v>723</v>
      </c>
      <c r="E335" s="6" t="s">
        <v>1239</v>
      </c>
      <c r="F335" s="7">
        <v>46101</v>
      </c>
      <c r="G335" s="74">
        <v>46132</v>
      </c>
      <c r="H335" s="74"/>
      <c r="I335" s="74"/>
      <c r="J335" s="83">
        <f ca="1">NETWORKDAYS(F335,TODAY())</f>
        <v>13</v>
      </c>
      <c r="K335" s="82" t="str">
        <f ca="1">IF(J335&lt;30,"Menor a 30 días",IF(J335&lt;60,"Entre 30 y 60 días","Mayor a 60 días"))</f>
        <v>Menor a 30 días</v>
      </c>
      <c r="L335" s="77" t="s">
        <v>29</v>
      </c>
      <c r="M335" s="77" t="s">
        <v>30</v>
      </c>
      <c r="N335" s="77" t="s">
        <v>30</v>
      </c>
      <c r="O335" s="77" t="s">
        <v>31</v>
      </c>
      <c r="P335" s="77" t="s">
        <v>93</v>
      </c>
      <c r="Q335" s="77" t="s">
        <v>143</v>
      </c>
      <c r="R335" s="77" t="s">
        <v>324</v>
      </c>
      <c r="S335" s="77" t="s">
        <v>30</v>
      </c>
      <c r="T335" s="77" t="s">
        <v>93</v>
      </c>
      <c r="U335" s="9" t="s">
        <v>93</v>
      </c>
      <c r="V335" s="72"/>
      <c r="W335" s="9"/>
      <c r="X335" s="9"/>
      <c r="Y335" s="85"/>
      <c r="Z335" s="85"/>
      <c r="AA335" s="85"/>
      <c r="AB335" s="85"/>
    </row>
    <row r="336" spans="1:28" ht="34.5">
      <c r="A336" s="5" t="s">
        <v>1240</v>
      </c>
      <c r="B336" s="6" t="s">
        <v>1140</v>
      </c>
      <c r="C336" s="6" t="s">
        <v>898</v>
      </c>
      <c r="D336" s="6" t="s">
        <v>1241</v>
      </c>
      <c r="E336" s="6" t="s">
        <v>1242</v>
      </c>
      <c r="F336" s="7">
        <v>46085</v>
      </c>
      <c r="G336" s="74">
        <v>46119</v>
      </c>
      <c r="H336" s="74"/>
      <c r="I336" s="74"/>
      <c r="J336" s="83"/>
      <c r="K336" s="82"/>
      <c r="L336" s="77" t="s">
        <v>29</v>
      </c>
      <c r="M336" s="77" t="s">
        <v>30</v>
      </c>
      <c r="N336" s="77" t="s">
        <v>30</v>
      </c>
      <c r="O336" s="77" t="s">
        <v>31</v>
      </c>
      <c r="P336" s="77" t="s">
        <v>93</v>
      </c>
      <c r="Q336" s="77" t="s">
        <v>239</v>
      </c>
      <c r="R336" s="77" t="s">
        <v>490</v>
      </c>
      <c r="S336" s="77" t="s">
        <v>119</v>
      </c>
      <c r="T336" s="77" t="s">
        <v>93</v>
      </c>
      <c r="U336" s="9" t="s">
        <v>93</v>
      </c>
      <c r="V336" s="72"/>
      <c r="W336" s="9"/>
      <c r="X336" s="9"/>
      <c r="Y336" s="85"/>
      <c r="Z336" s="85"/>
      <c r="AA336" s="85"/>
      <c r="AB336" s="85"/>
    </row>
    <row r="337" spans="1:28" hidden="1">
      <c r="A337" s="5" t="s">
        <v>1243</v>
      </c>
      <c r="B337" s="6" t="s">
        <v>1244</v>
      </c>
      <c r="C337" s="6" t="s">
        <v>26</v>
      </c>
      <c r="D337" s="6" t="s">
        <v>485</v>
      </c>
      <c r="E337" s="6" t="s">
        <v>666</v>
      </c>
      <c r="F337" s="7">
        <v>46105</v>
      </c>
      <c r="G337" s="74"/>
      <c r="H337" s="74"/>
      <c r="I337" s="74"/>
      <c r="J337" s="83">
        <f ca="1">NETWORKDAYS(F337,TODAY())</f>
        <v>11</v>
      </c>
      <c r="K337" s="82" t="str">
        <f ca="1">IF(J337&lt;30,"Menor a 30 días",IF(J337&lt;60,"Entre 30 y 60 días","Mayor a 60 días"))</f>
        <v>Menor a 30 días</v>
      </c>
      <c r="L337" s="77" t="s">
        <v>29</v>
      </c>
      <c r="M337" s="77" t="s">
        <v>30</v>
      </c>
      <c r="N337" s="77" t="s">
        <v>30</v>
      </c>
      <c r="O337" s="77" t="s">
        <v>30</v>
      </c>
      <c r="P337" s="77" t="s">
        <v>30</v>
      </c>
      <c r="Q337" s="77" t="s">
        <v>30</v>
      </c>
      <c r="R337" s="77" t="s">
        <v>30</v>
      </c>
      <c r="S337" s="77" t="s">
        <v>30</v>
      </c>
      <c r="T337" s="77" t="s">
        <v>93</v>
      </c>
      <c r="U337" s="9" t="s">
        <v>35</v>
      </c>
      <c r="V337" s="72"/>
      <c r="W337" s="9"/>
      <c r="X337" s="9"/>
      <c r="Y337" s="85"/>
      <c r="Z337" s="85"/>
      <c r="AA337" s="85"/>
      <c r="AB337" s="85"/>
    </row>
    <row r="338" spans="1:28" hidden="1">
      <c r="A338" s="5" t="s">
        <v>1245</v>
      </c>
      <c r="B338" s="6" t="s">
        <v>1244</v>
      </c>
      <c r="C338" s="6" t="s">
        <v>26</v>
      </c>
      <c r="D338" s="6" t="s">
        <v>485</v>
      </c>
      <c r="E338" s="6" t="s">
        <v>666</v>
      </c>
      <c r="F338" s="7">
        <v>46105</v>
      </c>
      <c r="G338" s="74"/>
      <c r="H338" s="74"/>
      <c r="I338" s="74"/>
      <c r="J338" s="83">
        <f ca="1">NETWORKDAYS(F338,TODAY())</f>
        <v>11</v>
      </c>
      <c r="K338" s="82" t="str">
        <f ca="1">IF(J338&lt;30,"Menor a 30 días",IF(J338&lt;60,"Entre 30 y 60 días","Mayor a 60 días"))</f>
        <v>Menor a 30 días</v>
      </c>
      <c r="L338" s="77" t="s">
        <v>29</v>
      </c>
      <c r="M338" s="77" t="s">
        <v>30</v>
      </c>
      <c r="N338" s="77" t="s">
        <v>30</v>
      </c>
      <c r="O338" s="77" t="s">
        <v>30</v>
      </c>
      <c r="P338" s="77" t="s">
        <v>30</v>
      </c>
      <c r="Q338" s="77" t="s">
        <v>30</v>
      </c>
      <c r="R338" s="77" t="s">
        <v>30</v>
      </c>
      <c r="S338" s="77" t="s">
        <v>30</v>
      </c>
      <c r="T338" s="77" t="s">
        <v>93</v>
      </c>
      <c r="U338" s="9" t="s">
        <v>35</v>
      </c>
      <c r="V338" s="72"/>
      <c r="W338" s="9"/>
      <c r="X338" s="9"/>
      <c r="Y338" s="85"/>
      <c r="Z338" s="85"/>
      <c r="AA338" s="85"/>
      <c r="AB338" s="85"/>
    </row>
    <row r="339" spans="1:28" ht="20.25" hidden="1">
      <c r="A339" s="5" t="s">
        <v>1246</v>
      </c>
      <c r="B339" s="6" t="s">
        <v>1247</v>
      </c>
      <c r="C339" s="6" t="s">
        <v>26</v>
      </c>
      <c r="D339" s="6" t="s">
        <v>1248</v>
      </c>
      <c r="E339" s="6" t="s">
        <v>1249</v>
      </c>
      <c r="F339" s="7">
        <v>46106</v>
      </c>
      <c r="G339" s="74">
        <v>46134</v>
      </c>
      <c r="H339" s="74">
        <v>46111</v>
      </c>
      <c r="I339" s="74">
        <v>46111</v>
      </c>
      <c r="J339" s="83">
        <f ca="1">NETWORKDAYS(F339,TODAY())</f>
        <v>10</v>
      </c>
      <c r="K339" s="82" t="str">
        <f ca="1">IF(J339&lt;30,"Menor a 30 días",IF(J339&lt;60,"Entre 30 y 60 días","Mayor a 60 días"))</f>
        <v>Menor a 30 días</v>
      </c>
      <c r="L339" s="77" t="s">
        <v>30</v>
      </c>
      <c r="M339" s="77" t="s">
        <v>30</v>
      </c>
      <c r="N339" s="77" t="s">
        <v>30</v>
      </c>
      <c r="O339" s="77" t="s">
        <v>30</v>
      </c>
      <c r="P339" s="77" t="s">
        <v>30</v>
      </c>
      <c r="Q339" s="77" t="s">
        <v>32</v>
      </c>
      <c r="R339" s="77" t="s">
        <v>30</v>
      </c>
      <c r="S339" s="77" t="s">
        <v>490</v>
      </c>
      <c r="T339" s="77" t="s">
        <v>34</v>
      </c>
      <c r="U339" s="9" t="s">
        <v>35</v>
      </c>
      <c r="V339" s="72"/>
      <c r="W339" s="9"/>
      <c r="X339" s="9"/>
      <c r="Y339" s="85"/>
      <c r="Z339" s="85"/>
      <c r="AA339" s="85"/>
      <c r="AB339" s="85"/>
    </row>
    <row r="340" spans="1:28" ht="23.25" hidden="1">
      <c r="A340" s="5" t="s">
        <v>1250</v>
      </c>
      <c r="B340" s="6" t="s">
        <v>1251</v>
      </c>
      <c r="C340" s="6" t="s">
        <v>26</v>
      </c>
      <c r="D340" s="6" t="s">
        <v>199</v>
      </c>
      <c r="E340" s="6" t="s">
        <v>1252</v>
      </c>
      <c r="F340" s="7">
        <v>46106</v>
      </c>
      <c r="G340" s="74">
        <v>46134</v>
      </c>
      <c r="H340" s="74"/>
      <c r="I340" s="74"/>
      <c r="J340" s="83">
        <f ca="1">NETWORKDAYS(F340,TODAY())</f>
        <v>10</v>
      </c>
      <c r="K340" s="82" t="str">
        <f ca="1">IF(J340&lt;30,"Menor a 30 días",IF(J340&lt;60,"Entre 30 y 60 días","Mayor a 60 días"))</f>
        <v>Menor a 30 días</v>
      </c>
      <c r="L340" s="77" t="s">
        <v>30</v>
      </c>
      <c r="M340" s="77" t="s">
        <v>30</v>
      </c>
      <c r="N340" s="77" t="s">
        <v>30</v>
      </c>
      <c r="O340" s="77" t="s">
        <v>30</v>
      </c>
      <c r="P340" s="77" t="s">
        <v>30</v>
      </c>
      <c r="Q340" s="77" t="s">
        <v>30</v>
      </c>
      <c r="R340" s="77" t="s">
        <v>30</v>
      </c>
      <c r="S340" s="77" t="s">
        <v>30</v>
      </c>
      <c r="T340" s="77" t="s">
        <v>93</v>
      </c>
      <c r="U340" s="9" t="s">
        <v>93</v>
      </c>
      <c r="V340" s="72"/>
      <c r="W340" s="9"/>
      <c r="X340" s="9"/>
      <c r="Y340" s="85"/>
      <c r="Z340" s="85"/>
      <c r="AA340" s="85"/>
      <c r="AB340" s="85"/>
    </row>
    <row r="341" spans="1:28" ht="20.25">
      <c r="A341" s="5" t="s">
        <v>1253</v>
      </c>
      <c r="B341" s="6" t="s">
        <v>1254</v>
      </c>
      <c r="C341" s="6" t="s">
        <v>898</v>
      </c>
      <c r="D341" s="6" t="s">
        <v>753</v>
      </c>
      <c r="E341" s="6" t="s">
        <v>1255</v>
      </c>
      <c r="F341" s="7">
        <v>46086</v>
      </c>
      <c r="G341" s="74">
        <v>46121</v>
      </c>
      <c r="H341" s="74"/>
      <c r="I341" s="74"/>
      <c r="J341" s="83"/>
      <c r="K341" s="82"/>
      <c r="L341" s="77" t="s">
        <v>29</v>
      </c>
      <c r="M341" s="77" t="s">
        <v>30</v>
      </c>
      <c r="N341" s="77" t="s">
        <v>30</v>
      </c>
      <c r="O341" s="77" t="s">
        <v>142</v>
      </c>
      <c r="P341" s="77" t="s">
        <v>142</v>
      </c>
      <c r="Q341" s="77" t="s">
        <v>1120</v>
      </c>
      <c r="R341" s="77" t="s">
        <v>490</v>
      </c>
      <c r="S341" s="77" t="s">
        <v>1121</v>
      </c>
      <c r="T341" s="77" t="s">
        <v>93</v>
      </c>
      <c r="U341" s="9" t="s">
        <v>93</v>
      </c>
      <c r="V341" s="72"/>
      <c r="W341" s="9"/>
      <c r="X341" s="9"/>
      <c r="Y341" s="85"/>
      <c r="Z341" s="85"/>
      <c r="AA341" s="85"/>
      <c r="AB341" s="85"/>
    </row>
    <row r="342" spans="1:28" ht="20.25">
      <c r="A342" s="5" t="s">
        <v>1256</v>
      </c>
      <c r="B342" s="6" t="s">
        <v>1257</v>
      </c>
      <c r="C342" s="6" t="s">
        <v>898</v>
      </c>
      <c r="D342" s="6" t="s">
        <v>753</v>
      </c>
      <c r="E342" s="6" t="s">
        <v>1258</v>
      </c>
      <c r="F342" s="7">
        <v>46086</v>
      </c>
      <c r="G342" s="74">
        <v>46122</v>
      </c>
      <c r="H342" s="74"/>
      <c r="I342" s="74"/>
      <c r="J342" s="83"/>
      <c r="K342" s="82"/>
      <c r="L342" s="77" t="s">
        <v>29</v>
      </c>
      <c r="M342" s="77" t="s">
        <v>30</v>
      </c>
      <c r="N342" s="77" t="s">
        <v>30</v>
      </c>
      <c r="O342" s="77" t="s">
        <v>142</v>
      </c>
      <c r="P342" s="77" t="s">
        <v>142</v>
      </c>
      <c r="Q342" s="77" t="s">
        <v>143</v>
      </c>
      <c r="R342" s="77" t="s">
        <v>490</v>
      </c>
      <c r="S342" s="77" t="s">
        <v>1149</v>
      </c>
      <c r="T342" s="77" t="s">
        <v>93</v>
      </c>
      <c r="U342" s="9" t="s">
        <v>93</v>
      </c>
      <c r="V342" s="72"/>
      <c r="W342" s="9"/>
      <c r="X342" s="9"/>
      <c r="Y342" s="85"/>
      <c r="Z342" s="85"/>
      <c r="AA342" s="85"/>
      <c r="AB342" s="85"/>
    </row>
    <row r="343" spans="1:28" hidden="1">
      <c r="A343" s="5" t="s">
        <v>1259</v>
      </c>
      <c r="B343" s="6" t="s">
        <v>1204</v>
      </c>
      <c r="C343" s="6" t="s">
        <v>898</v>
      </c>
      <c r="D343" s="6" t="s">
        <v>1260</v>
      </c>
      <c r="E343" s="6" t="s">
        <v>1261</v>
      </c>
      <c r="F343" s="7">
        <v>46106</v>
      </c>
      <c r="G343" s="74">
        <v>46112</v>
      </c>
      <c r="H343" s="74">
        <v>46107</v>
      </c>
      <c r="I343" s="74"/>
      <c r="J343" s="83"/>
      <c r="K343" s="82"/>
      <c r="L343" s="77" t="s">
        <v>30</v>
      </c>
      <c r="M343" s="77" t="s">
        <v>30</v>
      </c>
      <c r="N343" s="77" t="s">
        <v>30</v>
      </c>
      <c r="O343" s="77" t="s">
        <v>30</v>
      </c>
      <c r="P343" s="77" t="s">
        <v>30</v>
      </c>
      <c r="Q343" s="77" t="s">
        <v>30</v>
      </c>
      <c r="R343" s="77" t="s">
        <v>30</v>
      </c>
      <c r="S343" s="77" t="s">
        <v>30</v>
      </c>
      <c r="T343" s="77" t="s">
        <v>34</v>
      </c>
      <c r="U343" s="9" t="s">
        <v>35</v>
      </c>
      <c r="V343" s="72"/>
      <c r="W343" s="9"/>
      <c r="X343" s="9"/>
      <c r="Y343" s="85"/>
      <c r="Z343" s="85"/>
      <c r="AA343" s="85"/>
      <c r="AB343" s="85"/>
    </row>
    <row r="344" spans="1:28" ht="30.75">
      <c r="A344" s="5" t="s">
        <v>1262</v>
      </c>
      <c r="B344" s="6" t="s">
        <v>1263</v>
      </c>
      <c r="C344" s="6" t="s">
        <v>898</v>
      </c>
      <c r="D344" s="6" t="s">
        <v>1264</v>
      </c>
      <c r="E344" s="6" t="s">
        <v>1265</v>
      </c>
      <c r="F344" s="7">
        <v>46107</v>
      </c>
      <c r="G344" s="74">
        <v>46210</v>
      </c>
      <c r="H344" s="74"/>
      <c r="I344" s="74"/>
      <c r="J344" s="83"/>
      <c r="K344" s="82"/>
      <c r="L344" s="77" t="s">
        <v>205</v>
      </c>
      <c r="M344" s="77" t="s">
        <v>30</v>
      </c>
      <c r="N344" s="77" t="s">
        <v>30</v>
      </c>
      <c r="O344" s="77" t="s">
        <v>142</v>
      </c>
      <c r="P344" s="77" t="s">
        <v>142</v>
      </c>
      <c r="Q344" s="77" t="s">
        <v>239</v>
      </c>
      <c r="R344" s="77" t="s">
        <v>30</v>
      </c>
      <c r="S344" s="77" t="s">
        <v>119</v>
      </c>
      <c r="T344" s="77" t="s">
        <v>93</v>
      </c>
      <c r="U344" s="9" t="s">
        <v>93</v>
      </c>
      <c r="V344" s="72"/>
      <c r="W344" s="9"/>
      <c r="X344" s="9"/>
      <c r="Y344" s="85"/>
      <c r="Z344" s="85"/>
      <c r="AA344" s="85"/>
      <c r="AB344" s="85"/>
    </row>
    <row r="345" spans="1:28" ht="20.25" hidden="1">
      <c r="A345" s="5" t="s">
        <v>1266</v>
      </c>
      <c r="B345" s="6" t="s">
        <v>1267</v>
      </c>
      <c r="C345" s="6" t="s">
        <v>898</v>
      </c>
      <c r="D345" s="6" t="s">
        <v>1268</v>
      </c>
      <c r="E345" s="6" t="s">
        <v>1269</v>
      </c>
      <c r="F345" s="7">
        <v>46093</v>
      </c>
      <c r="G345" s="74">
        <v>46120</v>
      </c>
      <c r="H345" s="74"/>
      <c r="I345" s="74"/>
      <c r="J345" s="83"/>
      <c r="K345" s="82"/>
      <c r="L345" s="77" t="s">
        <v>29</v>
      </c>
      <c r="M345" s="77" t="s">
        <v>30</v>
      </c>
      <c r="N345" s="77" t="s">
        <v>30</v>
      </c>
      <c r="O345" s="77" t="s">
        <v>30</v>
      </c>
      <c r="P345" s="77" t="s">
        <v>29</v>
      </c>
      <c r="Q345" s="77" t="s">
        <v>30</v>
      </c>
      <c r="R345" s="77" t="s">
        <v>48</v>
      </c>
      <c r="S345" s="77" t="s">
        <v>30</v>
      </c>
      <c r="T345" s="77" t="s">
        <v>34</v>
      </c>
      <c r="U345" s="9" t="s">
        <v>35</v>
      </c>
      <c r="V345" s="72"/>
      <c r="W345" s="9"/>
      <c r="X345" s="9"/>
      <c r="Y345" s="85"/>
      <c r="Z345" s="85"/>
      <c r="AA345" s="85"/>
      <c r="AB345" s="85"/>
    </row>
    <row r="346" spans="1:28" hidden="1">
      <c r="A346" s="5" t="s">
        <v>1270</v>
      </c>
      <c r="B346" s="6" t="s">
        <v>1271</v>
      </c>
      <c r="C346" s="6" t="s">
        <v>26</v>
      </c>
      <c r="D346" s="6" t="s">
        <v>1272</v>
      </c>
      <c r="E346" s="6" t="s">
        <v>1273</v>
      </c>
      <c r="F346" s="7">
        <v>46107</v>
      </c>
      <c r="G346" s="74">
        <v>46134</v>
      </c>
      <c r="H346" s="74"/>
      <c r="I346" s="74"/>
      <c r="J346" s="83">
        <f ca="1">NETWORKDAYS(F346,TODAY())</f>
        <v>9</v>
      </c>
      <c r="K346" s="82" t="str">
        <f ca="1">IF(J346&lt;30,"Menor a 30 días",IF(J346&lt;60,"Entre 30 y 60 días","Mayor a 60 días"))</f>
        <v>Menor a 30 días</v>
      </c>
      <c r="L346" s="77" t="s">
        <v>30</v>
      </c>
      <c r="M346" s="77" t="s">
        <v>30</v>
      </c>
      <c r="N346" s="77" t="s">
        <v>30</v>
      </c>
      <c r="O346" s="77" t="s">
        <v>30</v>
      </c>
      <c r="P346" s="77" t="s">
        <v>30</v>
      </c>
      <c r="Q346" s="77" t="s">
        <v>30</v>
      </c>
      <c r="R346" s="77" t="s">
        <v>30</v>
      </c>
      <c r="S346" s="77" t="s">
        <v>30</v>
      </c>
      <c r="T346" s="77" t="s">
        <v>93</v>
      </c>
      <c r="U346" s="9" t="s">
        <v>93</v>
      </c>
      <c r="V346" s="72"/>
      <c r="W346" s="9"/>
      <c r="X346" s="9"/>
      <c r="Y346" s="85"/>
      <c r="Z346" s="85"/>
      <c r="AA346" s="85"/>
      <c r="AB346" s="85"/>
    </row>
    <row r="347" spans="1:28" ht="30.75" hidden="1">
      <c r="A347" s="5" t="s">
        <v>1274</v>
      </c>
      <c r="B347" s="6" t="s">
        <v>1275</v>
      </c>
      <c r="C347" s="6" t="s">
        <v>26</v>
      </c>
      <c r="D347" s="6" t="s">
        <v>906</v>
      </c>
      <c r="E347" s="6" t="s">
        <v>1276</v>
      </c>
      <c r="F347" s="7">
        <v>46107</v>
      </c>
      <c r="G347" s="74">
        <v>46134</v>
      </c>
      <c r="H347" s="74"/>
      <c r="I347" s="74"/>
      <c r="J347" s="83">
        <f ca="1">NETWORKDAYS(F347,TODAY())</f>
        <v>9</v>
      </c>
      <c r="K347" s="82" t="str">
        <f ca="1">IF(J347&lt;30,"Menor a 30 días",IF(J347&lt;60,"Entre 30 y 60 días","Mayor a 60 días"))</f>
        <v>Menor a 30 días</v>
      </c>
      <c r="L347" s="77" t="s">
        <v>176</v>
      </c>
      <c r="M347" s="77" t="s">
        <v>30</v>
      </c>
      <c r="N347" s="77" t="s">
        <v>93</v>
      </c>
      <c r="O347" s="77" t="s">
        <v>142</v>
      </c>
      <c r="P347" s="77" t="s">
        <v>142</v>
      </c>
      <c r="Q347" s="77" t="s">
        <v>239</v>
      </c>
      <c r="R347" s="77" t="s">
        <v>30</v>
      </c>
      <c r="S347" s="77" t="s">
        <v>119</v>
      </c>
      <c r="T347" s="77" t="s">
        <v>93</v>
      </c>
      <c r="U347" s="9" t="s">
        <v>93</v>
      </c>
      <c r="V347" s="72"/>
      <c r="W347" s="9"/>
      <c r="X347" s="9"/>
      <c r="Y347" s="85"/>
      <c r="Z347" s="85"/>
      <c r="AA347" s="85"/>
      <c r="AB347" s="85"/>
    </row>
    <row r="348" spans="1:28" ht="30.75" hidden="1">
      <c r="A348" s="5" t="s">
        <v>1277</v>
      </c>
      <c r="B348" s="6" t="s">
        <v>1278</v>
      </c>
      <c r="C348" s="6" t="s">
        <v>26</v>
      </c>
      <c r="D348" s="6" t="s">
        <v>1279</v>
      </c>
      <c r="E348" s="6" t="s">
        <v>666</v>
      </c>
      <c r="F348" s="7">
        <v>46108</v>
      </c>
      <c r="G348" s="74"/>
      <c r="H348" s="74"/>
      <c r="I348" s="74"/>
      <c r="J348" s="83">
        <f ca="1">NETWORKDAYS(F348,TODAY())</f>
        <v>8</v>
      </c>
      <c r="K348" s="82" t="str">
        <f ca="1">IF(J348&lt;30,"Menor a 30 días",IF(J348&lt;60,"Entre 30 y 60 días","Mayor a 60 días"))</f>
        <v>Menor a 30 días</v>
      </c>
      <c r="L348" s="77" t="s">
        <v>205</v>
      </c>
      <c r="M348" s="77"/>
      <c r="N348" s="77"/>
      <c r="O348" s="77" t="s">
        <v>142</v>
      </c>
      <c r="P348" s="77" t="s">
        <v>142</v>
      </c>
      <c r="Q348" s="77" t="s">
        <v>239</v>
      </c>
      <c r="R348" s="77" t="s">
        <v>359</v>
      </c>
      <c r="S348" s="77" t="s">
        <v>119</v>
      </c>
      <c r="T348" s="77" t="s">
        <v>93</v>
      </c>
      <c r="U348" s="9" t="s">
        <v>93</v>
      </c>
      <c r="V348" s="72"/>
      <c r="W348" s="9"/>
      <c r="X348" s="9"/>
      <c r="Y348" s="85"/>
      <c r="Z348" s="85"/>
      <c r="AA348" s="85"/>
      <c r="AB348" s="85"/>
    </row>
    <row r="349" spans="1:28" hidden="1">
      <c r="A349" s="5" t="s">
        <v>1280</v>
      </c>
      <c r="B349" s="6" t="s">
        <v>1281</v>
      </c>
      <c r="C349" s="6" t="s">
        <v>898</v>
      </c>
      <c r="D349" s="6" t="s">
        <v>1282</v>
      </c>
      <c r="E349" s="6" t="s">
        <v>1283</v>
      </c>
      <c r="F349" s="7">
        <v>46107</v>
      </c>
      <c r="G349" s="74">
        <v>46140</v>
      </c>
      <c r="H349" s="74"/>
      <c r="I349" s="74"/>
      <c r="J349" s="83"/>
      <c r="K349" s="82"/>
      <c r="L349" s="77"/>
      <c r="M349" s="77"/>
      <c r="N349" s="77"/>
      <c r="O349" s="77"/>
      <c r="P349" s="77"/>
      <c r="Q349" s="77"/>
      <c r="R349" s="77"/>
      <c r="S349" s="77"/>
      <c r="T349" s="77"/>
      <c r="U349" s="9"/>
      <c r="V349" s="72"/>
      <c r="W349" s="9"/>
      <c r="X349" s="9"/>
      <c r="Y349" s="85"/>
      <c r="Z349" s="85"/>
      <c r="AA349" s="85"/>
      <c r="AB349" s="85"/>
    </row>
    <row r="350" spans="1:28" ht="46.5" hidden="1">
      <c r="A350" s="5" t="s">
        <v>1284</v>
      </c>
      <c r="B350" s="6" t="s">
        <v>1281</v>
      </c>
      <c r="C350" s="6" t="s">
        <v>898</v>
      </c>
      <c r="D350" s="6" t="s">
        <v>1285</v>
      </c>
      <c r="E350" s="6" t="s">
        <v>1286</v>
      </c>
      <c r="F350" s="7">
        <v>46107</v>
      </c>
      <c r="G350" s="74">
        <v>46140</v>
      </c>
      <c r="H350" s="74"/>
      <c r="I350" s="74"/>
      <c r="J350" s="83"/>
      <c r="K350" s="82"/>
      <c r="L350" s="77"/>
      <c r="M350" s="77"/>
      <c r="N350" s="77"/>
      <c r="O350" s="77"/>
      <c r="P350" s="77"/>
      <c r="Q350" s="77"/>
      <c r="R350" s="77"/>
      <c r="S350" s="77"/>
      <c r="T350" s="77"/>
      <c r="U350" s="9"/>
      <c r="V350" s="72"/>
      <c r="W350" s="9"/>
      <c r="X350" s="9"/>
      <c r="Y350" s="85"/>
      <c r="Z350" s="85"/>
      <c r="AA350" s="85"/>
      <c r="AB350" s="85"/>
    </row>
    <row r="351" spans="1:28" hidden="1">
      <c r="A351" s="5" t="s">
        <v>1287</v>
      </c>
      <c r="B351" s="6" t="s">
        <v>1288</v>
      </c>
      <c r="C351" s="6" t="s">
        <v>26</v>
      </c>
      <c r="D351" s="6" t="s">
        <v>176</v>
      </c>
      <c r="E351" s="6"/>
      <c r="F351" s="7">
        <v>46100</v>
      </c>
      <c r="G351" s="74"/>
      <c r="H351" s="74">
        <v>46100</v>
      </c>
      <c r="I351" s="74"/>
      <c r="J351" s="83">
        <f ca="1">NETWORKDAYS(F351,TODAY())</f>
        <v>14</v>
      </c>
      <c r="K351" s="82" t="str">
        <f ca="1">IF(J351&lt;30,"Menor a 30 días",IF(J351&lt;60,"Entre 30 y 60 días","Mayor a 60 días"))</f>
        <v>Menor a 30 días</v>
      </c>
      <c r="L351" s="77" t="s">
        <v>176</v>
      </c>
      <c r="M351" s="77" t="s">
        <v>30</v>
      </c>
      <c r="N351" s="77" t="s">
        <v>30</v>
      </c>
      <c r="O351" s="77" t="s">
        <v>30</v>
      </c>
      <c r="P351" s="77" t="s">
        <v>30</v>
      </c>
      <c r="Q351" s="77" t="s">
        <v>30</v>
      </c>
      <c r="R351" s="77" t="s">
        <v>30</v>
      </c>
      <c r="S351" s="77" t="s">
        <v>30</v>
      </c>
      <c r="T351" s="77" t="s">
        <v>34</v>
      </c>
      <c r="U351" s="9" t="s">
        <v>35</v>
      </c>
      <c r="V351" s="72"/>
      <c r="W351" s="9"/>
      <c r="X351" s="9"/>
      <c r="Y351" s="85"/>
      <c r="Z351" s="85"/>
      <c r="AA351" s="85"/>
      <c r="AB351" s="85"/>
    </row>
    <row r="352" spans="1:28" hidden="1">
      <c r="A352" s="5" t="s">
        <v>1289</v>
      </c>
      <c r="B352" s="6" t="s">
        <v>1290</v>
      </c>
      <c r="C352" s="6" t="s">
        <v>26</v>
      </c>
      <c r="D352" s="6" t="s">
        <v>176</v>
      </c>
      <c r="E352" s="6"/>
      <c r="F352" s="7">
        <v>46092</v>
      </c>
      <c r="G352" s="74"/>
      <c r="H352" s="74">
        <v>46092</v>
      </c>
      <c r="I352" s="74"/>
      <c r="J352" s="83">
        <f ca="1">NETWORKDAYS(F352,TODAY())</f>
        <v>20</v>
      </c>
      <c r="K352" s="82" t="str">
        <f ca="1">IF(J352&lt;30,"Menor a 30 días",IF(J352&lt;60,"Entre 30 y 60 días","Mayor a 60 días"))</f>
        <v>Menor a 30 días</v>
      </c>
      <c r="L352" s="77" t="s">
        <v>176</v>
      </c>
      <c r="M352" s="77" t="s">
        <v>30</v>
      </c>
      <c r="N352" s="77" t="s">
        <v>30</v>
      </c>
      <c r="O352" s="77" t="s">
        <v>30</v>
      </c>
      <c r="P352" s="77" t="s">
        <v>30</v>
      </c>
      <c r="Q352" s="77" t="s">
        <v>30</v>
      </c>
      <c r="R352" s="77" t="s">
        <v>30</v>
      </c>
      <c r="S352" s="77" t="s">
        <v>30</v>
      </c>
      <c r="T352" s="77" t="s">
        <v>34</v>
      </c>
      <c r="U352" s="9" t="s">
        <v>35</v>
      </c>
      <c r="V352" s="72"/>
      <c r="W352" s="9"/>
      <c r="X352" s="9"/>
      <c r="Y352" s="85"/>
      <c r="Z352" s="85"/>
      <c r="AA352" s="85"/>
      <c r="AB352" s="85"/>
    </row>
    <row r="353" spans="1:28" hidden="1">
      <c r="A353" s="5" t="s">
        <v>1291</v>
      </c>
      <c r="B353" s="6" t="s">
        <v>1292</v>
      </c>
      <c r="C353" s="6" t="s">
        <v>26</v>
      </c>
      <c r="D353" s="6" t="s">
        <v>176</v>
      </c>
      <c r="E353" s="6"/>
      <c r="F353" s="7">
        <v>46092</v>
      </c>
      <c r="G353" s="74"/>
      <c r="H353" s="7">
        <v>46092</v>
      </c>
      <c r="I353" s="74"/>
      <c r="J353" s="83">
        <f ca="1">NETWORKDAYS(F353,TODAY())</f>
        <v>20</v>
      </c>
      <c r="K353" s="82" t="str">
        <f ca="1">IF(J353&lt;30,"Menor a 30 días",IF(J353&lt;60,"Entre 30 y 60 días","Mayor a 60 días"))</f>
        <v>Menor a 30 días</v>
      </c>
      <c r="L353" s="77" t="s">
        <v>176</v>
      </c>
      <c r="M353" s="77" t="s">
        <v>30</v>
      </c>
      <c r="N353" s="77" t="s">
        <v>30</v>
      </c>
      <c r="O353" s="77" t="s">
        <v>30</v>
      </c>
      <c r="P353" s="77" t="s">
        <v>30</v>
      </c>
      <c r="Q353" s="77" t="s">
        <v>30</v>
      </c>
      <c r="R353" s="77" t="s">
        <v>30</v>
      </c>
      <c r="S353" s="77" t="s">
        <v>30</v>
      </c>
      <c r="T353" s="77" t="s">
        <v>34</v>
      </c>
      <c r="U353" s="9" t="s">
        <v>35</v>
      </c>
      <c r="V353" s="72"/>
      <c r="W353" s="9"/>
      <c r="X353" s="9"/>
      <c r="Y353" s="85"/>
      <c r="Z353" s="85"/>
      <c r="AA353" s="85"/>
      <c r="AB353" s="85"/>
    </row>
    <row r="354" spans="1:28" hidden="1">
      <c r="A354" s="5" t="s">
        <v>1293</v>
      </c>
      <c r="B354" s="6" t="s">
        <v>1294</v>
      </c>
      <c r="C354" s="6" t="s">
        <v>26</v>
      </c>
      <c r="D354" s="6" t="s">
        <v>176</v>
      </c>
      <c r="E354" s="6"/>
      <c r="F354" s="7">
        <v>46100</v>
      </c>
      <c r="G354" s="74"/>
      <c r="H354" s="74">
        <v>46100</v>
      </c>
      <c r="I354" s="74"/>
      <c r="J354" s="83">
        <f ca="1">NETWORKDAYS(F354,TODAY())</f>
        <v>14</v>
      </c>
      <c r="K354" s="82" t="str">
        <f ca="1">IF(J354&lt;30,"Menor a 30 días",IF(J354&lt;60,"Entre 30 y 60 días","Mayor a 60 días"))</f>
        <v>Menor a 30 días</v>
      </c>
      <c r="L354" s="77" t="s">
        <v>176</v>
      </c>
      <c r="M354" s="77" t="s">
        <v>30</v>
      </c>
      <c r="N354" s="77" t="s">
        <v>30</v>
      </c>
      <c r="O354" s="77" t="s">
        <v>30</v>
      </c>
      <c r="P354" s="77" t="s">
        <v>30</v>
      </c>
      <c r="Q354" s="77" t="s">
        <v>30</v>
      </c>
      <c r="R354" s="77" t="s">
        <v>30</v>
      </c>
      <c r="S354" s="77" t="s">
        <v>30</v>
      </c>
      <c r="T354" s="77" t="s">
        <v>34</v>
      </c>
      <c r="U354" s="9" t="s">
        <v>35</v>
      </c>
      <c r="V354" s="72"/>
      <c r="W354" s="9"/>
      <c r="X354" s="9"/>
      <c r="Y354" s="85"/>
      <c r="Z354" s="85"/>
      <c r="AA354" s="85"/>
      <c r="AB354" s="85"/>
    </row>
    <row r="355" spans="1:28" hidden="1">
      <c r="A355" s="5" t="s">
        <v>1295</v>
      </c>
      <c r="B355" s="6" t="s">
        <v>1296</v>
      </c>
      <c r="C355" s="6" t="s">
        <v>26</v>
      </c>
      <c r="D355" s="6" t="s">
        <v>176</v>
      </c>
      <c r="E355" s="6"/>
      <c r="F355" s="7">
        <v>46090</v>
      </c>
      <c r="G355" s="74"/>
      <c r="H355" s="74">
        <v>46090</v>
      </c>
      <c r="I355" s="74"/>
      <c r="J355" s="83">
        <f ca="1">NETWORKDAYS(F355,TODAY())</f>
        <v>22</v>
      </c>
      <c r="K355" s="82" t="str">
        <f ca="1">IF(J355&lt;30,"Menor a 30 días",IF(J355&lt;60,"Entre 30 y 60 días","Mayor a 60 días"))</f>
        <v>Menor a 30 días</v>
      </c>
      <c r="L355" s="77" t="s">
        <v>176</v>
      </c>
      <c r="M355" s="77" t="s">
        <v>30</v>
      </c>
      <c r="N355" s="77" t="s">
        <v>30</v>
      </c>
      <c r="O355" s="77" t="s">
        <v>30</v>
      </c>
      <c r="P355" s="77" t="s">
        <v>30</v>
      </c>
      <c r="Q355" s="77" t="s">
        <v>30</v>
      </c>
      <c r="R355" s="77" t="s">
        <v>30</v>
      </c>
      <c r="S355" s="77" t="s">
        <v>30</v>
      </c>
      <c r="T355" s="77" t="s">
        <v>34</v>
      </c>
      <c r="U355" s="9" t="s">
        <v>35</v>
      </c>
      <c r="V355" s="72"/>
      <c r="W355" s="9"/>
      <c r="X355" s="9"/>
      <c r="Y355" s="85"/>
      <c r="Z355" s="85"/>
      <c r="AA355" s="85"/>
      <c r="AB355" s="85"/>
    </row>
    <row r="356" spans="1:28" hidden="1">
      <c r="A356" s="5" t="s">
        <v>1297</v>
      </c>
      <c r="B356" s="6" t="s">
        <v>1298</v>
      </c>
      <c r="C356" s="6" t="s">
        <v>26</v>
      </c>
      <c r="D356" s="6" t="s">
        <v>1299</v>
      </c>
      <c r="E356" s="6" t="s">
        <v>1300</v>
      </c>
      <c r="F356" s="7">
        <v>46111</v>
      </c>
      <c r="G356" s="74">
        <v>46122</v>
      </c>
      <c r="H356" s="74">
        <v>46111</v>
      </c>
      <c r="I356" s="74"/>
      <c r="J356" s="83">
        <f ca="1">NETWORKDAYS(F356,TODAY())</f>
        <v>7</v>
      </c>
      <c r="K356" s="82" t="str">
        <f ca="1">IF(J356&lt;30,"Menor a 30 días",IF(J356&lt;60,"Entre 30 y 60 días","Mayor a 60 días"))</f>
        <v>Menor a 30 días</v>
      </c>
      <c r="L356" s="77" t="s">
        <v>30</v>
      </c>
      <c r="M356" s="77" t="s">
        <v>30</v>
      </c>
      <c r="N356" s="77" t="s">
        <v>30</v>
      </c>
      <c r="O356" s="77" t="s">
        <v>30</v>
      </c>
      <c r="P356" s="77" t="s">
        <v>30</v>
      </c>
      <c r="Q356" s="77" t="s">
        <v>30</v>
      </c>
      <c r="R356" s="77" t="s">
        <v>30</v>
      </c>
      <c r="S356" s="77" t="s">
        <v>30</v>
      </c>
      <c r="T356" s="77" t="s">
        <v>34</v>
      </c>
      <c r="U356" s="9" t="s">
        <v>35</v>
      </c>
      <c r="V356" s="72"/>
      <c r="W356" s="9"/>
      <c r="X356" s="9"/>
      <c r="Y356" s="85"/>
      <c r="Z356" s="85"/>
      <c r="AA356" s="85"/>
      <c r="AB356" s="85"/>
    </row>
    <row r="357" spans="1:28" hidden="1">
      <c r="A357" s="5" t="s">
        <v>1301</v>
      </c>
      <c r="B357" s="6" t="s">
        <v>1302</v>
      </c>
      <c r="C357" s="6" t="s">
        <v>26</v>
      </c>
      <c r="D357" s="6" t="s">
        <v>1303</v>
      </c>
      <c r="E357" s="6" t="s">
        <v>1304</v>
      </c>
      <c r="F357" s="7">
        <v>46111</v>
      </c>
      <c r="G357" s="74">
        <v>46122</v>
      </c>
      <c r="H357" s="74">
        <v>46111</v>
      </c>
      <c r="I357" s="74"/>
      <c r="J357" s="83">
        <f ca="1">NETWORKDAYS(F357,TODAY())</f>
        <v>7</v>
      </c>
      <c r="K357" s="82" t="str">
        <f ca="1">IF(J357&lt;30,"Menor a 30 días",IF(J357&lt;60,"Entre 30 y 60 días","Mayor a 60 días"))</f>
        <v>Menor a 30 días</v>
      </c>
      <c r="L357" s="77" t="s">
        <v>30</v>
      </c>
      <c r="M357" s="77" t="s">
        <v>30</v>
      </c>
      <c r="N357" s="77" t="s">
        <v>30</v>
      </c>
      <c r="O357" s="77" t="s">
        <v>30</v>
      </c>
      <c r="P357" s="77" t="s">
        <v>30</v>
      </c>
      <c r="Q357" s="77" t="s">
        <v>30</v>
      </c>
      <c r="R357" s="77" t="s">
        <v>30</v>
      </c>
      <c r="S357" s="77" t="s">
        <v>30</v>
      </c>
      <c r="T357" s="77" t="s">
        <v>34</v>
      </c>
      <c r="U357" s="9" t="s">
        <v>35</v>
      </c>
      <c r="V357" s="72"/>
      <c r="W357" s="9"/>
      <c r="X357" s="9"/>
      <c r="Y357" s="85"/>
      <c r="Z357" s="85"/>
      <c r="AA357" s="85"/>
      <c r="AB357" s="85"/>
    </row>
    <row r="358" spans="1:28" ht="23.25">
      <c r="A358" s="5" t="s">
        <v>1305</v>
      </c>
      <c r="B358" s="6" t="s">
        <v>1306</v>
      </c>
      <c r="C358" s="6" t="s">
        <v>898</v>
      </c>
      <c r="D358" s="6" t="s">
        <v>1307</v>
      </c>
      <c r="E358" s="6" t="s">
        <v>1308</v>
      </c>
      <c r="F358" s="7">
        <v>46108</v>
      </c>
      <c r="G358" s="74">
        <v>46139</v>
      </c>
      <c r="H358" s="74"/>
      <c r="I358" s="74"/>
      <c r="J358" s="83"/>
      <c r="K358" s="82"/>
      <c r="L358" s="77" t="s">
        <v>29</v>
      </c>
      <c r="M358" s="77" t="s">
        <v>30</v>
      </c>
      <c r="N358" s="77" t="s">
        <v>30</v>
      </c>
      <c r="O358" s="77" t="s">
        <v>30</v>
      </c>
      <c r="P358" s="77" t="s">
        <v>30</v>
      </c>
      <c r="Q358" s="77" t="s">
        <v>30</v>
      </c>
      <c r="R358" s="77" t="s">
        <v>48</v>
      </c>
      <c r="S358" s="77" t="s">
        <v>30</v>
      </c>
      <c r="T358" s="77" t="s">
        <v>93</v>
      </c>
      <c r="U358" s="9" t="s">
        <v>93</v>
      </c>
      <c r="V358" s="72"/>
      <c r="W358" s="9"/>
      <c r="X358" s="9"/>
      <c r="Y358" s="85"/>
      <c r="Z358" s="85"/>
      <c r="AA358" s="85"/>
      <c r="AB358" s="85"/>
    </row>
    <row r="359" spans="1:28">
      <c r="A359" s="5"/>
      <c r="B359" s="6"/>
      <c r="C359" s="6"/>
      <c r="D359" s="6"/>
      <c r="E359" s="6"/>
      <c r="F359" s="7"/>
      <c r="G359" s="74"/>
      <c r="H359" s="74"/>
      <c r="I359" s="74"/>
      <c r="J359" s="83"/>
      <c r="K359" s="82"/>
      <c r="L359" s="77"/>
      <c r="M359" s="77"/>
      <c r="N359" s="77"/>
      <c r="O359" s="77"/>
      <c r="P359" s="77"/>
      <c r="Q359" s="77"/>
      <c r="R359" s="77"/>
      <c r="S359" s="77"/>
      <c r="T359" s="77"/>
      <c r="U359" s="9"/>
      <c r="V359" s="89"/>
      <c r="W359" s="102"/>
    </row>
    <row r="360" spans="1:28">
      <c r="A360" s="5"/>
      <c r="B360" s="6"/>
      <c r="C360" s="6"/>
      <c r="D360" s="6"/>
      <c r="E360" s="6"/>
      <c r="F360" s="7"/>
      <c r="G360" s="74"/>
      <c r="H360" s="74"/>
      <c r="I360" s="74"/>
      <c r="J360" s="83"/>
      <c r="K360" s="82"/>
      <c r="L360" s="77"/>
      <c r="M360" s="77"/>
      <c r="N360" s="77"/>
      <c r="O360" s="77"/>
      <c r="P360" s="77"/>
      <c r="Q360" s="77"/>
      <c r="R360" s="77"/>
      <c r="S360" s="77"/>
      <c r="T360" s="77"/>
      <c r="U360" s="9"/>
      <c r="V360" s="89"/>
      <c r="W360" s="102"/>
    </row>
    <row r="361" spans="1:28">
      <c r="A361" s="5"/>
      <c r="B361" s="6"/>
      <c r="C361" s="6"/>
      <c r="D361" s="6"/>
      <c r="E361" s="6"/>
      <c r="F361" s="7"/>
      <c r="G361" s="74"/>
      <c r="H361" s="74"/>
      <c r="I361" s="74"/>
      <c r="J361" s="83"/>
      <c r="K361" s="82"/>
      <c r="L361" s="77"/>
      <c r="M361" s="77"/>
      <c r="N361" s="77"/>
      <c r="O361" s="77"/>
      <c r="P361" s="77"/>
      <c r="Q361" s="77"/>
      <c r="R361" s="77"/>
      <c r="S361" s="77"/>
      <c r="T361" s="77"/>
      <c r="U361" s="9"/>
      <c r="V361" s="89"/>
      <c r="W361" s="102"/>
    </row>
    <row r="362" spans="1:28">
      <c r="A362" s="5"/>
      <c r="B362" s="6"/>
      <c r="C362" s="6"/>
      <c r="D362" s="6"/>
      <c r="E362" s="6"/>
      <c r="F362" s="7"/>
      <c r="G362" s="74"/>
      <c r="H362" s="74"/>
      <c r="I362" s="74"/>
      <c r="J362" s="83"/>
      <c r="K362" s="82"/>
      <c r="L362" s="77"/>
      <c r="M362" s="77"/>
      <c r="N362" s="77"/>
      <c r="O362" s="77"/>
      <c r="P362" s="77"/>
      <c r="Q362" s="77"/>
      <c r="R362" s="77"/>
      <c r="S362" s="77"/>
      <c r="T362" s="77"/>
      <c r="U362" s="9"/>
      <c r="V362" s="89"/>
      <c r="W362" s="102"/>
    </row>
    <row r="363" spans="1:28">
      <c r="A363" s="5"/>
      <c r="B363" s="6"/>
      <c r="C363" s="6"/>
      <c r="D363" s="6"/>
      <c r="E363" s="6"/>
      <c r="F363" s="7"/>
      <c r="G363" s="74"/>
      <c r="H363" s="74"/>
      <c r="I363" s="74"/>
      <c r="J363" s="83"/>
      <c r="K363" s="82"/>
      <c r="L363" s="77"/>
      <c r="M363" s="77"/>
      <c r="N363" s="77"/>
      <c r="O363" s="77"/>
      <c r="P363" s="77"/>
      <c r="Q363" s="77"/>
      <c r="R363" s="77"/>
      <c r="S363" s="77"/>
      <c r="T363" s="77"/>
      <c r="U363" s="9"/>
      <c r="V363" s="89"/>
      <c r="W363" s="102"/>
    </row>
    <row r="364" spans="1:28">
      <c r="A364" s="5"/>
      <c r="B364" s="6"/>
      <c r="C364" s="6"/>
      <c r="D364" s="6"/>
      <c r="E364" s="6"/>
      <c r="F364" s="7"/>
      <c r="G364" s="74"/>
      <c r="H364" s="74"/>
      <c r="I364" s="74"/>
      <c r="J364" s="83"/>
      <c r="K364" s="82"/>
      <c r="L364" s="77"/>
      <c r="M364" s="77"/>
      <c r="N364" s="77"/>
      <c r="O364" s="77"/>
      <c r="P364" s="77"/>
      <c r="Q364" s="77"/>
      <c r="R364" s="77"/>
      <c r="S364" s="77"/>
      <c r="T364" s="77"/>
      <c r="U364" s="9"/>
      <c r="V364" s="89"/>
      <c r="W364" s="102"/>
    </row>
    <row r="365" spans="1:28">
      <c r="A365" s="5"/>
      <c r="B365" s="6"/>
      <c r="C365" s="6"/>
      <c r="D365" s="6"/>
      <c r="E365" s="6"/>
      <c r="F365" s="7"/>
      <c r="G365" s="74"/>
      <c r="H365" s="74"/>
      <c r="I365" s="74"/>
      <c r="J365" s="83"/>
      <c r="K365" s="82"/>
      <c r="L365" s="77"/>
      <c r="M365" s="77"/>
      <c r="N365" s="77"/>
      <c r="O365" s="77"/>
      <c r="P365" s="77"/>
      <c r="Q365" s="77"/>
      <c r="R365" s="77"/>
      <c r="S365" s="77"/>
      <c r="T365" s="77"/>
      <c r="U365" s="9"/>
      <c r="V365" s="89"/>
      <c r="W365" s="102"/>
    </row>
    <row r="366" spans="1:28">
      <c r="A366" s="5"/>
      <c r="B366" s="6"/>
      <c r="C366" s="6"/>
      <c r="D366" s="6"/>
      <c r="E366" s="6"/>
      <c r="F366" s="7"/>
      <c r="G366" s="74"/>
      <c r="H366" s="74"/>
      <c r="I366" s="74"/>
      <c r="J366" s="83"/>
      <c r="K366" s="82"/>
      <c r="L366" s="77"/>
      <c r="M366" s="77"/>
      <c r="N366" s="77"/>
      <c r="O366" s="77"/>
      <c r="P366" s="77"/>
      <c r="Q366" s="77"/>
      <c r="R366" s="77"/>
      <c r="S366" s="77"/>
      <c r="T366" s="77"/>
      <c r="U366" s="9"/>
      <c r="V366" s="89"/>
      <c r="W366" s="102"/>
    </row>
    <row r="367" spans="1:28">
      <c r="A367" s="5"/>
      <c r="B367" s="6"/>
      <c r="C367" s="6"/>
      <c r="D367" s="6"/>
      <c r="E367" s="6"/>
      <c r="F367" s="7"/>
      <c r="G367" s="74"/>
      <c r="H367" s="74"/>
      <c r="I367" s="74"/>
      <c r="J367" s="83"/>
      <c r="K367" s="82"/>
      <c r="L367" s="77"/>
      <c r="M367" s="77"/>
      <c r="N367" s="77"/>
      <c r="O367" s="77"/>
      <c r="P367" s="77"/>
      <c r="Q367" s="77"/>
      <c r="R367" s="77"/>
      <c r="S367" s="77"/>
      <c r="T367" s="77"/>
      <c r="U367" s="9"/>
      <c r="V367" s="89"/>
      <c r="W367" s="102"/>
    </row>
    <row r="368" spans="1:28">
      <c r="A368" s="5"/>
      <c r="B368" s="6"/>
      <c r="C368" s="6"/>
      <c r="D368" s="6"/>
      <c r="E368" s="6"/>
      <c r="F368" s="7"/>
      <c r="G368" s="74"/>
      <c r="H368" s="74"/>
      <c r="I368" s="74"/>
      <c r="J368" s="83"/>
      <c r="K368" s="82"/>
      <c r="L368" s="77"/>
      <c r="M368" s="77"/>
      <c r="N368" s="77"/>
      <c r="O368" s="77"/>
      <c r="P368" s="77"/>
      <c r="Q368" s="77"/>
      <c r="R368" s="77"/>
      <c r="S368" s="77"/>
      <c r="T368" s="77"/>
      <c r="U368" s="9"/>
      <c r="V368" s="89"/>
      <c r="W368" s="102"/>
    </row>
    <row r="369" spans="1:23">
      <c r="A369" s="5"/>
      <c r="B369" s="6"/>
      <c r="C369" s="6"/>
      <c r="D369" s="6"/>
      <c r="E369" s="6"/>
      <c r="F369" s="7"/>
      <c r="G369" s="74"/>
      <c r="H369" s="74"/>
      <c r="I369" s="74"/>
      <c r="J369" s="83"/>
      <c r="K369" s="82"/>
      <c r="L369" s="77"/>
      <c r="M369" s="77"/>
      <c r="N369" s="77"/>
      <c r="O369" s="77"/>
      <c r="P369" s="77"/>
      <c r="Q369" s="77"/>
      <c r="R369" s="77"/>
      <c r="S369" s="77"/>
      <c r="T369" s="77"/>
      <c r="U369" s="9"/>
      <c r="V369" s="89"/>
      <c r="W369" s="102"/>
    </row>
    <row r="370" spans="1:23">
      <c r="A370" s="5"/>
      <c r="B370" s="6"/>
      <c r="C370" s="6"/>
      <c r="D370" s="6"/>
      <c r="E370" s="6"/>
      <c r="F370" s="7"/>
      <c r="G370" s="74"/>
      <c r="H370" s="74"/>
      <c r="I370" s="74"/>
      <c r="J370" s="83"/>
      <c r="K370" s="82"/>
      <c r="L370" s="77"/>
      <c r="M370" s="77"/>
      <c r="N370" s="77"/>
      <c r="O370" s="77"/>
      <c r="P370" s="77"/>
      <c r="Q370" s="77"/>
      <c r="R370" s="77"/>
      <c r="S370" s="77"/>
      <c r="T370" s="77"/>
      <c r="U370" s="9"/>
      <c r="V370" s="89"/>
      <c r="W370" s="102"/>
    </row>
    <row r="371" spans="1:23">
      <c r="A371" s="5"/>
      <c r="B371" s="6"/>
      <c r="C371" s="6"/>
      <c r="D371" s="6"/>
      <c r="E371" s="6"/>
      <c r="F371" s="7"/>
      <c r="G371" s="74"/>
      <c r="H371" s="74"/>
      <c r="I371" s="74"/>
      <c r="J371" s="83"/>
      <c r="K371" s="82"/>
      <c r="L371" s="77"/>
      <c r="M371" s="77"/>
      <c r="N371" s="77"/>
      <c r="O371" s="77"/>
      <c r="P371" s="77"/>
      <c r="Q371" s="77"/>
      <c r="R371" s="77"/>
      <c r="S371" s="77"/>
      <c r="T371" s="77"/>
      <c r="U371" s="9"/>
      <c r="V371" s="89"/>
      <c r="W371" s="102"/>
    </row>
    <row r="372" spans="1:23">
      <c r="A372" s="5"/>
      <c r="B372" s="6"/>
      <c r="C372" s="6"/>
      <c r="D372" s="6"/>
      <c r="E372" s="6"/>
      <c r="F372" s="7"/>
      <c r="G372" s="74"/>
      <c r="H372" s="74"/>
      <c r="I372" s="74"/>
      <c r="J372" s="83"/>
      <c r="K372" s="82"/>
      <c r="L372" s="77"/>
      <c r="M372" s="77"/>
      <c r="N372" s="77"/>
      <c r="O372" s="77"/>
      <c r="P372" s="77"/>
      <c r="Q372" s="77"/>
      <c r="R372" s="77"/>
      <c r="S372" s="77"/>
      <c r="T372" s="77"/>
      <c r="U372" s="9"/>
      <c r="V372" s="89"/>
      <c r="W372" s="102"/>
    </row>
    <row r="373" spans="1:23">
      <c r="A373" s="5"/>
      <c r="B373" s="6"/>
      <c r="C373" s="6"/>
      <c r="D373" s="6"/>
      <c r="E373" s="6"/>
      <c r="F373" s="7"/>
      <c r="G373" s="74"/>
      <c r="H373" s="74"/>
      <c r="I373" s="74"/>
      <c r="J373" s="83"/>
      <c r="K373" s="82"/>
      <c r="L373" s="77"/>
      <c r="M373" s="77"/>
      <c r="N373" s="77"/>
      <c r="O373" s="77"/>
      <c r="P373" s="77"/>
      <c r="Q373" s="77"/>
      <c r="R373" s="77"/>
      <c r="S373" s="77"/>
      <c r="T373" s="77"/>
      <c r="U373" s="9"/>
      <c r="V373" s="89"/>
      <c r="W373" s="102"/>
    </row>
    <row r="374" spans="1:23">
      <c r="A374" s="5"/>
      <c r="B374" s="6"/>
      <c r="C374" s="6"/>
      <c r="D374" s="6"/>
      <c r="E374" s="6"/>
      <c r="F374" s="7"/>
      <c r="G374" s="74"/>
      <c r="H374" s="74"/>
      <c r="I374" s="74"/>
      <c r="J374" s="83"/>
      <c r="K374" s="82"/>
      <c r="L374" s="77"/>
      <c r="M374" s="77"/>
      <c r="N374" s="77"/>
      <c r="O374" s="77"/>
      <c r="P374" s="77"/>
      <c r="Q374" s="77"/>
      <c r="R374" s="77"/>
      <c r="S374" s="77"/>
      <c r="T374" s="77"/>
      <c r="U374" s="9"/>
      <c r="V374" s="89"/>
      <c r="W374" s="102"/>
    </row>
    <row r="375" spans="1:23">
      <c r="A375" s="5"/>
      <c r="B375" s="6"/>
      <c r="C375" s="6"/>
      <c r="D375" s="6"/>
      <c r="E375" s="6"/>
      <c r="F375" s="7"/>
      <c r="G375" s="74"/>
      <c r="H375" s="74"/>
      <c r="I375" s="74"/>
      <c r="J375" s="83"/>
      <c r="K375" s="82"/>
      <c r="L375" s="77"/>
      <c r="M375" s="77"/>
      <c r="N375" s="77"/>
      <c r="O375" s="77"/>
      <c r="P375" s="77"/>
      <c r="Q375" s="77"/>
      <c r="R375" s="77"/>
      <c r="S375" s="77"/>
      <c r="T375" s="77"/>
      <c r="U375" s="9"/>
      <c r="V375" s="89"/>
      <c r="W375" s="102"/>
    </row>
    <row r="376" spans="1:23">
      <c r="A376" s="5"/>
      <c r="B376" s="6"/>
      <c r="C376" s="6"/>
      <c r="D376" s="6"/>
      <c r="E376" s="6"/>
      <c r="F376" s="7"/>
      <c r="G376" s="74"/>
      <c r="H376" s="74"/>
      <c r="I376" s="74"/>
      <c r="J376" s="83"/>
      <c r="K376" s="82"/>
      <c r="L376" s="77"/>
      <c r="M376" s="77"/>
      <c r="N376" s="77"/>
      <c r="O376" s="77"/>
      <c r="P376" s="77"/>
      <c r="Q376" s="77"/>
      <c r="R376" s="77"/>
      <c r="S376" s="77"/>
      <c r="T376" s="77"/>
      <c r="U376" s="9"/>
      <c r="V376" s="89"/>
      <c r="W376" s="102"/>
    </row>
    <row r="377" spans="1:23">
      <c r="A377" s="5"/>
      <c r="B377" s="6"/>
      <c r="C377" s="6"/>
      <c r="D377" s="6"/>
      <c r="E377" s="6"/>
      <c r="F377" s="7"/>
      <c r="G377" s="74"/>
      <c r="H377" s="74"/>
      <c r="I377" s="74"/>
      <c r="J377" s="83"/>
      <c r="K377" s="82"/>
      <c r="L377" s="77"/>
      <c r="M377" s="77"/>
      <c r="N377" s="77"/>
      <c r="O377" s="77"/>
      <c r="P377" s="77"/>
      <c r="Q377" s="77"/>
      <c r="R377" s="77"/>
      <c r="S377" s="77"/>
      <c r="T377" s="77"/>
      <c r="U377" s="9"/>
      <c r="V377" s="89"/>
      <c r="W377" s="102"/>
    </row>
    <row r="378" spans="1:23">
      <c r="A378" s="5"/>
      <c r="B378" s="6"/>
      <c r="C378" s="6"/>
      <c r="D378" s="6"/>
      <c r="E378" s="6"/>
      <c r="F378" s="7"/>
      <c r="G378" s="74"/>
      <c r="H378" s="74"/>
      <c r="I378" s="74"/>
      <c r="J378" s="83"/>
      <c r="K378" s="82"/>
      <c r="L378" s="77"/>
      <c r="M378" s="77"/>
      <c r="N378" s="77"/>
      <c r="O378" s="77"/>
      <c r="P378" s="77"/>
      <c r="Q378" s="77"/>
      <c r="R378" s="77"/>
      <c r="S378" s="77"/>
      <c r="T378" s="77"/>
      <c r="U378" s="9"/>
      <c r="V378" s="89"/>
      <c r="W378" s="102"/>
    </row>
    <row r="379" spans="1:23">
      <c r="A379" s="5"/>
      <c r="B379" s="6"/>
      <c r="C379" s="6"/>
      <c r="D379" s="6"/>
      <c r="E379" s="6"/>
      <c r="F379" s="7"/>
      <c r="G379" s="74"/>
      <c r="H379" s="74"/>
      <c r="I379" s="74"/>
      <c r="J379" s="83"/>
      <c r="K379" s="82"/>
      <c r="L379" s="77"/>
      <c r="M379" s="77"/>
      <c r="N379" s="77"/>
      <c r="O379" s="77"/>
      <c r="P379" s="77"/>
      <c r="Q379" s="77"/>
      <c r="R379" s="77"/>
      <c r="S379" s="77"/>
      <c r="T379" s="77"/>
      <c r="U379" s="9"/>
      <c r="V379" s="89"/>
      <c r="W379" s="102"/>
    </row>
    <row r="380" spans="1:23">
      <c r="A380" s="5"/>
      <c r="B380" s="6"/>
      <c r="C380" s="6"/>
      <c r="D380" s="6"/>
      <c r="E380" s="6"/>
      <c r="F380" s="7"/>
      <c r="G380" s="74"/>
      <c r="H380" s="74"/>
      <c r="I380" s="74"/>
      <c r="J380" s="83"/>
      <c r="K380" s="82"/>
      <c r="L380" s="77"/>
      <c r="M380" s="77"/>
      <c r="N380" s="77"/>
      <c r="O380" s="77"/>
      <c r="P380" s="77"/>
      <c r="Q380" s="77"/>
      <c r="R380" s="77"/>
      <c r="S380" s="77"/>
      <c r="T380" s="77"/>
      <c r="U380" s="9"/>
      <c r="V380" s="89"/>
      <c r="W380" s="102"/>
    </row>
    <row r="381" spans="1:23">
      <c r="A381" s="5"/>
      <c r="B381" s="6"/>
      <c r="C381" s="6"/>
      <c r="D381" s="6"/>
      <c r="E381" s="6"/>
      <c r="F381" s="7"/>
      <c r="G381" s="74"/>
      <c r="H381" s="74"/>
      <c r="I381" s="74"/>
      <c r="J381" s="83"/>
      <c r="K381" s="82"/>
      <c r="L381" s="77"/>
      <c r="M381" s="77"/>
      <c r="N381" s="77"/>
      <c r="O381" s="77"/>
      <c r="P381" s="77"/>
      <c r="Q381" s="77"/>
      <c r="R381" s="77"/>
      <c r="S381" s="77"/>
      <c r="T381" s="77"/>
      <c r="U381" s="9"/>
      <c r="V381" s="89"/>
      <c r="W381" s="102"/>
    </row>
    <row r="382" spans="1:23">
      <c r="A382" s="5"/>
      <c r="B382" s="6"/>
      <c r="C382" s="6"/>
      <c r="D382" s="6"/>
      <c r="E382" s="6"/>
      <c r="F382" s="7"/>
      <c r="G382" s="74"/>
      <c r="H382" s="74"/>
      <c r="I382" s="74"/>
      <c r="J382" s="83"/>
      <c r="K382" s="82"/>
      <c r="L382" s="77"/>
      <c r="M382" s="77"/>
      <c r="N382" s="77"/>
      <c r="O382" s="77"/>
      <c r="P382" s="77"/>
      <c r="Q382" s="77"/>
      <c r="R382" s="77"/>
      <c r="S382" s="77"/>
      <c r="T382" s="77"/>
      <c r="U382" s="9"/>
      <c r="V382" s="89"/>
      <c r="W382" s="102"/>
    </row>
    <row r="383" spans="1:23">
      <c r="A383" s="5"/>
      <c r="B383" s="6"/>
      <c r="C383" s="6"/>
      <c r="D383" s="6"/>
      <c r="E383" s="6"/>
      <c r="F383" s="7"/>
      <c r="G383" s="74"/>
      <c r="H383" s="74"/>
      <c r="I383" s="74"/>
      <c r="J383" s="83"/>
      <c r="K383" s="82"/>
      <c r="L383" s="77"/>
      <c r="M383" s="77"/>
      <c r="N383" s="77"/>
      <c r="O383" s="77"/>
      <c r="P383" s="77"/>
      <c r="Q383" s="77"/>
      <c r="R383" s="77"/>
      <c r="S383" s="77"/>
      <c r="T383" s="77"/>
      <c r="U383" s="9"/>
      <c r="V383" s="89"/>
      <c r="W383" s="102"/>
    </row>
    <row r="384" spans="1:23">
      <c r="A384" s="5"/>
      <c r="B384" s="6"/>
      <c r="C384" s="6"/>
      <c r="D384" s="6"/>
      <c r="E384" s="6"/>
      <c r="F384" s="7"/>
      <c r="G384" s="74"/>
      <c r="H384" s="74"/>
      <c r="I384" s="74"/>
      <c r="J384" s="83"/>
      <c r="K384" s="82"/>
      <c r="L384" s="77"/>
      <c r="M384" s="77"/>
      <c r="N384" s="77"/>
      <c r="O384" s="77"/>
      <c r="P384" s="77"/>
      <c r="Q384" s="77"/>
      <c r="R384" s="77"/>
      <c r="S384" s="77"/>
      <c r="T384" s="77"/>
      <c r="U384" s="9"/>
      <c r="V384" s="89"/>
      <c r="W384" s="102"/>
    </row>
    <row r="385" spans="1:23">
      <c r="A385" s="5"/>
      <c r="B385" s="6"/>
      <c r="C385" s="6"/>
      <c r="D385" s="6"/>
      <c r="E385" s="6"/>
      <c r="F385" s="7"/>
      <c r="G385" s="74"/>
      <c r="H385" s="74"/>
      <c r="I385" s="74"/>
      <c r="J385" s="83"/>
      <c r="K385" s="82"/>
      <c r="L385" s="77"/>
      <c r="M385" s="77"/>
      <c r="N385" s="77"/>
      <c r="O385" s="77"/>
      <c r="P385" s="77"/>
      <c r="Q385" s="77"/>
      <c r="R385" s="77"/>
      <c r="S385" s="77"/>
      <c r="T385" s="77"/>
      <c r="U385" s="9"/>
      <c r="V385" s="89"/>
      <c r="W385" s="102"/>
    </row>
    <row r="386" spans="1:23">
      <c r="A386" s="5"/>
      <c r="B386" s="6"/>
      <c r="C386" s="6"/>
      <c r="D386" s="6"/>
      <c r="E386" s="6"/>
      <c r="F386" s="7"/>
      <c r="G386" s="74"/>
      <c r="H386" s="74"/>
      <c r="I386" s="74"/>
      <c r="J386" s="83"/>
      <c r="K386" s="82"/>
      <c r="L386" s="77"/>
      <c r="M386" s="77"/>
      <c r="N386" s="77"/>
      <c r="O386" s="77"/>
      <c r="P386" s="77"/>
      <c r="Q386" s="77"/>
      <c r="R386" s="77"/>
      <c r="S386" s="77"/>
      <c r="T386" s="77"/>
      <c r="U386" s="9"/>
      <c r="V386" s="89"/>
      <c r="W386" s="102"/>
    </row>
    <row r="387" spans="1:23">
      <c r="A387" s="5"/>
      <c r="B387" s="6"/>
      <c r="C387" s="6"/>
      <c r="D387" s="6"/>
      <c r="E387" s="6"/>
      <c r="F387" s="7"/>
      <c r="G387" s="74"/>
      <c r="H387" s="74"/>
      <c r="I387" s="74"/>
      <c r="J387" s="83"/>
      <c r="K387" s="82"/>
      <c r="L387" s="77"/>
      <c r="M387" s="77"/>
      <c r="N387" s="77"/>
      <c r="O387" s="77"/>
      <c r="P387" s="77"/>
      <c r="Q387" s="77"/>
      <c r="R387" s="77"/>
      <c r="S387" s="77"/>
      <c r="T387" s="77"/>
      <c r="U387" s="9"/>
      <c r="V387" s="89"/>
      <c r="W387" s="102"/>
    </row>
    <row r="388" spans="1:23">
      <c r="A388" s="5"/>
      <c r="B388" s="6"/>
      <c r="C388" s="6"/>
      <c r="D388" s="6"/>
      <c r="E388" s="6"/>
      <c r="F388" s="7"/>
      <c r="G388" s="74"/>
      <c r="H388" s="74"/>
      <c r="I388" s="74"/>
      <c r="J388" s="83"/>
      <c r="K388" s="82"/>
      <c r="L388" s="77"/>
      <c r="M388" s="77"/>
      <c r="N388" s="77"/>
      <c r="O388" s="77"/>
      <c r="P388" s="77"/>
      <c r="Q388" s="77"/>
      <c r="R388" s="77"/>
      <c r="S388" s="77"/>
      <c r="T388" s="77"/>
      <c r="U388" s="9"/>
      <c r="V388" s="89"/>
      <c r="W388" s="102"/>
    </row>
    <row r="389" spans="1:23">
      <c r="A389" s="5"/>
      <c r="B389" s="6"/>
      <c r="C389" s="6"/>
      <c r="D389" s="6"/>
      <c r="E389" s="6"/>
      <c r="F389" s="7"/>
      <c r="G389" s="74"/>
      <c r="H389" s="74"/>
      <c r="I389" s="74"/>
      <c r="J389" s="83"/>
      <c r="K389" s="82"/>
      <c r="L389" s="77"/>
      <c r="M389" s="77"/>
      <c r="N389" s="77"/>
      <c r="O389" s="77"/>
      <c r="P389" s="77"/>
      <c r="Q389" s="77"/>
      <c r="R389" s="77"/>
      <c r="S389" s="77"/>
      <c r="T389" s="77"/>
      <c r="U389" s="9"/>
      <c r="V389" s="89"/>
      <c r="W389" s="102"/>
    </row>
    <row r="390" spans="1:23">
      <c r="A390" s="5"/>
      <c r="B390" s="6"/>
      <c r="C390" s="6"/>
      <c r="D390" s="6"/>
      <c r="E390" s="6"/>
      <c r="F390" s="7"/>
      <c r="G390" s="74"/>
      <c r="H390" s="74"/>
      <c r="I390" s="74"/>
      <c r="J390" s="83"/>
      <c r="K390" s="82"/>
      <c r="L390" s="77"/>
      <c r="M390" s="77"/>
      <c r="N390" s="77"/>
      <c r="O390" s="77"/>
      <c r="P390" s="77"/>
      <c r="Q390" s="77"/>
      <c r="R390" s="77"/>
      <c r="S390" s="77"/>
      <c r="T390" s="77"/>
      <c r="U390" s="9"/>
      <c r="V390" s="89"/>
      <c r="W390" s="102"/>
    </row>
    <row r="391" spans="1:23">
      <c r="A391" s="5"/>
      <c r="B391" s="6"/>
      <c r="C391" s="6"/>
      <c r="D391" s="6"/>
      <c r="E391" s="6"/>
      <c r="F391" s="7"/>
      <c r="G391" s="74"/>
      <c r="H391" s="74"/>
      <c r="I391" s="74"/>
      <c r="J391" s="83"/>
      <c r="K391" s="82"/>
      <c r="L391" s="77"/>
      <c r="M391" s="77"/>
      <c r="N391" s="77"/>
      <c r="O391" s="77"/>
      <c r="P391" s="77"/>
      <c r="Q391" s="77"/>
      <c r="R391" s="77"/>
      <c r="S391" s="77"/>
      <c r="T391" s="77"/>
      <c r="U391" s="9"/>
      <c r="V391" s="89"/>
      <c r="W391" s="102"/>
    </row>
    <row r="392" spans="1:23">
      <c r="A392" s="5"/>
      <c r="B392" s="6"/>
      <c r="C392" s="6"/>
      <c r="D392" s="6"/>
      <c r="E392" s="6"/>
      <c r="F392" s="7"/>
      <c r="G392" s="74"/>
      <c r="H392" s="74"/>
      <c r="I392" s="74"/>
      <c r="J392" s="83"/>
      <c r="K392" s="82"/>
      <c r="L392" s="77"/>
      <c r="M392" s="77"/>
      <c r="N392" s="77"/>
      <c r="O392" s="77"/>
      <c r="P392" s="77"/>
      <c r="Q392" s="77"/>
      <c r="R392" s="77"/>
      <c r="S392" s="77"/>
      <c r="T392" s="77"/>
      <c r="U392" s="9"/>
      <c r="V392" s="89"/>
      <c r="W392" s="102"/>
    </row>
    <row r="393" spans="1:23">
      <c r="A393" s="5"/>
      <c r="B393" s="6"/>
      <c r="C393" s="6"/>
      <c r="D393" s="6"/>
      <c r="E393" s="6"/>
      <c r="F393" s="7"/>
      <c r="G393" s="74"/>
      <c r="H393" s="74"/>
      <c r="I393" s="74"/>
      <c r="J393" s="83"/>
      <c r="K393" s="82"/>
      <c r="L393" s="77"/>
      <c r="M393" s="77"/>
      <c r="N393" s="77"/>
      <c r="O393" s="77"/>
      <c r="P393" s="77"/>
      <c r="Q393" s="77"/>
      <c r="R393" s="77"/>
      <c r="S393" s="77"/>
      <c r="T393" s="77"/>
      <c r="U393" s="9"/>
      <c r="V393" s="89"/>
      <c r="W393" s="102"/>
    </row>
    <row r="394" spans="1:23">
      <c r="A394" s="5"/>
      <c r="B394" s="6"/>
      <c r="C394" s="6"/>
      <c r="D394" s="6"/>
      <c r="E394" s="6"/>
      <c r="F394" s="7"/>
      <c r="G394" s="74"/>
      <c r="H394" s="74"/>
      <c r="I394" s="74"/>
      <c r="J394" s="83"/>
      <c r="K394" s="82"/>
      <c r="L394" s="77"/>
      <c r="M394" s="77"/>
      <c r="N394" s="77"/>
      <c r="O394" s="77"/>
      <c r="P394" s="77"/>
      <c r="Q394" s="77"/>
      <c r="R394" s="77"/>
      <c r="S394" s="77"/>
      <c r="T394" s="77"/>
      <c r="U394" s="9"/>
      <c r="V394" s="89"/>
      <c r="W394" s="102"/>
    </row>
    <row r="395" spans="1:23">
      <c r="A395" s="5"/>
      <c r="B395" s="6"/>
      <c r="C395" s="6"/>
      <c r="D395" s="6"/>
      <c r="E395" s="6"/>
      <c r="F395" s="7"/>
      <c r="G395" s="74"/>
      <c r="H395" s="74"/>
      <c r="I395" s="74"/>
      <c r="J395" s="83"/>
      <c r="K395" s="82"/>
      <c r="L395" s="77"/>
      <c r="M395" s="77"/>
      <c r="N395" s="77"/>
      <c r="O395" s="77"/>
      <c r="P395" s="77"/>
      <c r="Q395" s="77"/>
      <c r="R395" s="77"/>
      <c r="S395" s="77"/>
      <c r="T395" s="77"/>
      <c r="U395" s="9"/>
      <c r="V395" s="89"/>
      <c r="W395" s="102"/>
    </row>
    <row r="396" spans="1:23">
      <c r="A396" s="5"/>
      <c r="B396" s="6"/>
      <c r="C396" s="6"/>
      <c r="D396" s="6"/>
      <c r="E396" s="6"/>
      <c r="F396" s="7"/>
      <c r="G396" s="74"/>
      <c r="H396" s="74"/>
      <c r="I396" s="74"/>
      <c r="J396" s="83"/>
      <c r="K396" s="82"/>
      <c r="L396" s="77"/>
      <c r="M396" s="77"/>
      <c r="N396" s="77"/>
      <c r="O396" s="77"/>
      <c r="P396" s="77"/>
      <c r="Q396" s="77"/>
      <c r="R396" s="77"/>
      <c r="S396" s="77"/>
      <c r="T396" s="77"/>
      <c r="U396" s="9"/>
      <c r="V396" s="89"/>
      <c r="W396" s="102"/>
    </row>
    <row r="397" spans="1:23">
      <c r="A397" s="5"/>
      <c r="B397" s="6"/>
      <c r="C397" s="6"/>
      <c r="D397" s="6"/>
      <c r="E397" s="6"/>
      <c r="F397" s="7"/>
      <c r="G397" s="74"/>
      <c r="H397" s="74"/>
      <c r="I397" s="74"/>
      <c r="J397" s="83"/>
      <c r="K397" s="82"/>
      <c r="L397" s="77"/>
      <c r="M397" s="77"/>
      <c r="N397" s="77"/>
      <c r="O397" s="77"/>
      <c r="P397" s="77"/>
      <c r="Q397" s="77"/>
      <c r="R397" s="77"/>
      <c r="S397" s="77"/>
      <c r="T397" s="77"/>
      <c r="U397" s="9"/>
      <c r="V397" s="89"/>
      <c r="W397" s="102"/>
    </row>
    <row r="398" spans="1:23">
      <c r="A398" s="5"/>
      <c r="B398" s="6"/>
      <c r="C398" s="6"/>
      <c r="D398" s="6"/>
      <c r="E398" s="6"/>
      <c r="F398" s="7"/>
      <c r="G398" s="74"/>
      <c r="H398" s="74"/>
      <c r="I398" s="74"/>
      <c r="J398" s="83"/>
      <c r="K398" s="82"/>
      <c r="L398" s="77"/>
      <c r="M398" s="77"/>
      <c r="N398" s="77"/>
      <c r="O398" s="77"/>
      <c r="P398" s="77"/>
      <c r="Q398" s="77"/>
      <c r="R398" s="77"/>
      <c r="S398" s="77"/>
      <c r="T398" s="77"/>
      <c r="U398" s="9"/>
      <c r="V398" s="89"/>
      <c r="W398" s="102"/>
    </row>
    <row r="399" spans="1:23">
      <c r="A399" s="5"/>
      <c r="B399" s="6"/>
      <c r="C399" s="6"/>
      <c r="D399" s="6"/>
      <c r="E399" s="6"/>
      <c r="F399" s="7"/>
      <c r="G399" s="74"/>
      <c r="H399" s="74"/>
      <c r="I399" s="74"/>
      <c r="J399" s="83"/>
      <c r="K399" s="82"/>
      <c r="L399" s="77"/>
      <c r="M399" s="77"/>
      <c r="N399" s="77"/>
      <c r="O399" s="77"/>
      <c r="P399" s="77"/>
      <c r="Q399" s="77"/>
      <c r="R399" s="77"/>
      <c r="S399" s="77"/>
      <c r="T399" s="77"/>
      <c r="U399" s="9"/>
      <c r="V399" s="89"/>
      <c r="W399" s="102"/>
    </row>
    <row r="400" spans="1:23">
      <c r="A400" s="5"/>
      <c r="B400" s="6"/>
      <c r="C400" s="6"/>
      <c r="D400" s="6"/>
      <c r="E400" s="6"/>
      <c r="F400" s="7"/>
      <c r="G400" s="74"/>
      <c r="H400" s="74"/>
      <c r="I400" s="74"/>
      <c r="J400" s="83"/>
      <c r="K400" s="82"/>
      <c r="L400" s="77"/>
      <c r="M400" s="77"/>
      <c r="N400" s="77"/>
      <c r="O400" s="77"/>
      <c r="P400" s="77"/>
      <c r="Q400" s="77"/>
      <c r="R400" s="77"/>
      <c r="S400" s="77"/>
      <c r="T400" s="77"/>
      <c r="U400" s="9"/>
      <c r="V400" s="89"/>
      <c r="W400" s="102"/>
    </row>
    <row r="401" spans="1:23">
      <c r="A401" s="5"/>
      <c r="B401" s="6"/>
      <c r="C401" s="6"/>
      <c r="D401" s="6"/>
      <c r="E401" s="6"/>
      <c r="F401" s="7"/>
      <c r="G401" s="74"/>
      <c r="H401" s="74"/>
      <c r="I401" s="74"/>
      <c r="J401" s="83"/>
      <c r="K401" s="82"/>
      <c r="L401" s="77"/>
      <c r="M401" s="77"/>
      <c r="N401" s="77"/>
      <c r="O401" s="77"/>
      <c r="P401" s="77"/>
      <c r="Q401" s="77"/>
      <c r="R401" s="77"/>
      <c r="S401" s="77"/>
      <c r="T401" s="77"/>
      <c r="U401" s="9"/>
      <c r="V401" s="89"/>
      <c r="W401" s="102"/>
    </row>
    <row r="402" spans="1:23">
      <c r="A402" s="5"/>
      <c r="B402" s="6"/>
      <c r="C402" s="6"/>
      <c r="D402" s="6"/>
      <c r="E402" s="6"/>
      <c r="F402" s="7"/>
      <c r="G402" s="74"/>
      <c r="H402" s="74"/>
      <c r="I402" s="74"/>
      <c r="J402" s="83"/>
      <c r="K402" s="82"/>
      <c r="L402" s="77"/>
      <c r="M402" s="77"/>
      <c r="N402" s="77"/>
      <c r="O402" s="77"/>
      <c r="P402" s="77"/>
      <c r="Q402" s="77"/>
      <c r="R402" s="77"/>
      <c r="S402" s="77"/>
      <c r="T402" s="77"/>
      <c r="U402" s="9"/>
      <c r="V402" s="89"/>
      <c r="W402" s="102"/>
    </row>
    <row r="403" spans="1:23">
      <c r="A403" s="5"/>
      <c r="B403" s="6"/>
      <c r="C403" s="6"/>
      <c r="D403" s="6"/>
      <c r="E403" s="6"/>
      <c r="F403" s="7"/>
      <c r="G403" s="74"/>
      <c r="H403" s="74"/>
      <c r="I403" s="74"/>
      <c r="J403" s="83"/>
      <c r="K403" s="82"/>
      <c r="L403" s="77"/>
      <c r="M403" s="77"/>
      <c r="N403" s="77"/>
      <c r="O403" s="77"/>
      <c r="P403" s="77"/>
      <c r="Q403" s="77"/>
      <c r="R403" s="77"/>
      <c r="S403" s="77"/>
      <c r="T403" s="77"/>
      <c r="U403" s="9"/>
      <c r="V403" s="89"/>
      <c r="W403" s="102"/>
    </row>
    <row r="404" spans="1:23">
      <c r="A404" s="5"/>
      <c r="B404" s="6"/>
      <c r="C404" s="6"/>
      <c r="D404" s="6"/>
      <c r="E404" s="6"/>
      <c r="F404" s="7"/>
      <c r="G404" s="74"/>
      <c r="H404" s="74"/>
      <c r="I404" s="74"/>
      <c r="J404" s="83"/>
      <c r="K404" s="82"/>
      <c r="L404" s="77"/>
      <c r="M404" s="77"/>
      <c r="N404" s="77"/>
      <c r="O404" s="77"/>
      <c r="P404" s="77"/>
      <c r="Q404" s="77"/>
      <c r="R404" s="77"/>
      <c r="S404" s="77"/>
      <c r="T404" s="77"/>
      <c r="U404" s="9"/>
      <c r="V404" s="89"/>
      <c r="W404" s="102"/>
    </row>
    <row r="405" spans="1:23">
      <c r="A405" s="5"/>
      <c r="B405" s="6"/>
      <c r="C405" s="6"/>
      <c r="D405" s="6"/>
      <c r="E405" s="6"/>
      <c r="F405" s="7"/>
      <c r="G405" s="74"/>
      <c r="H405" s="74"/>
      <c r="I405" s="74"/>
      <c r="J405" s="83"/>
      <c r="K405" s="82"/>
      <c r="L405" s="77"/>
      <c r="M405" s="77"/>
      <c r="N405" s="77"/>
      <c r="O405" s="77"/>
      <c r="P405" s="77"/>
      <c r="Q405" s="77"/>
      <c r="R405" s="77"/>
      <c r="S405" s="77"/>
      <c r="T405" s="77"/>
      <c r="U405" s="9"/>
      <c r="V405" s="89"/>
      <c r="W405" s="102"/>
    </row>
    <row r="406" spans="1:23">
      <c r="A406" s="5"/>
      <c r="B406" s="6"/>
      <c r="C406" s="6"/>
      <c r="D406" s="6"/>
      <c r="E406" s="6"/>
      <c r="F406" s="7"/>
      <c r="G406" s="74"/>
      <c r="H406" s="74"/>
      <c r="I406" s="74"/>
      <c r="J406" s="83"/>
      <c r="K406" s="82"/>
      <c r="L406" s="77"/>
      <c r="M406" s="77"/>
      <c r="N406" s="77"/>
      <c r="O406" s="77"/>
      <c r="P406" s="77"/>
      <c r="Q406" s="77"/>
      <c r="R406" s="77"/>
      <c r="S406" s="77"/>
      <c r="T406" s="77"/>
      <c r="U406" s="9"/>
      <c r="V406" s="89"/>
      <c r="W406" s="102"/>
    </row>
    <row r="407" spans="1:23">
      <c r="A407" s="5"/>
      <c r="B407" s="6"/>
      <c r="C407" s="6"/>
      <c r="D407" s="6"/>
      <c r="E407" s="6"/>
      <c r="F407" s="7"/>
      <c r="G407" s="74"/>
      <c r="H407" s="74"/>
      <c r="I407" s="74"/>
      <c r="J407" s="83"/>
      <c r="K407" s="82"/>
      <c r="L407" s="77"/>
      <c r="M407" s="77"/>
      <c r="N407" s="77"/>
      <c r="O407" s="77"/>
      <c r="P407" s="77"/>
      <c r="Q407" s="77"/>
      <c r="R407" s="77"/>
      <c r="S407" s="77"/>
      <c r="T407" s="77"/>
      <c r="U407" s="9"/>
      <c r="V407" s="89"/>
      <c r="W407" s="102"/>
    </row>
    <row r="408" spans="1:23">
      <c r="A408" s="5"/>
      <c r="B408" s="6"/>
      <c r="C408" s="6"/>
      <c r="D408" s="6"/>
      <c r="E408" s="6"/>
      <c r="F408" s="7"/>
      <c r="G408" s="74"/>
      <c r="H408" s="74"/>
      <c r="I408" s="74"/>
      <c r="J408" s="83"/>
      <c r="K408" s="82"/>
      <c r="L408" s="77"/>
      <c r="M408" s="77"/>
      <c r="N408" s="77"/>
      <c r="O408" s="77"/>
      <c r="P408" s="77"/>
      <c r="Q408" s="77"/>
      <c r="R408" s="77"/>
      <c r="S408" s="77"/>
      <c r="T408" s="77"/>
      <c r="U408" s="9"/>
      <c r="V408" s="89"/>
      <c r="W408" s="102"/>
    </row>
    <row r="409" spans="1:23">
      <c r="A409" s="5"/>
      <c r="B409" s="6"/>
      <c r="C409" s="6"/>
      <c r="D409" s="6"/>
      <c r="E409" s="6"/>
      <c r="F409" s="7"/>
      <c r="G409" s="74"/>
      <c r="H409" s="74"/>
      <c r="I409" s="74"/>
      <c r="J409" s="83"/>
      <c r="K409" s="82"/>
      <c r="L409" s="77"/>
      <c r="M409" s="77"/>
      <c r="N409" s="77"/>
      <c r="O409" s="77"/>
      <c r="P409" s="77"/>
      <c r="Q409" s="77"/>
      <c r="R409" s="77"/>
      <c r="S409" s="77"/>
      <c r="T409" s="77"/>
      <c r="U409" s="9"/>
      <c r="V409" s="89"/>
      <c r="W409" s="102"/>
    </row>
    <row r="410" spans="1:23">
      <c r="A410" s="5"/>
      <c r="B410" s="6"/>
      <c r="C410" s="6"/>
      <c r="D410" s="6"/>
      <c r="E410" s="6"/>
      <c r="F410" s="7"/>
      <c r="G410" s="74"/>
      <c r="H410" s="74"/>
      <c r="I410" s="74"/>
      <c r="J410" s="83"/>
      <c r="K410" s="82"/>
      <c r="L410" s="77"/>
      <c r="M410" s="77"/>
      <c r="N410" s="77"/>
      <c r="O410" s="77"/>
      <c r="P410" s="77"/>
      <c r="Q410" s="77"/>
      <c r="R410" s="77"/>
      <c r="S410" s="77"/>
      <c r="T410" s="77"/>
      <c r="U410" s="9"/>
      <c r="V410" s="89"/>
      <c r="W410" s="102"/>
    </row>
    <row r="411" spans="1:23">
      <c r="A411" s="5"/>
      <c r="B411" s="6"/>
      <c r="C411" s="6"/>
      <c r="D411" s="6"/>
      <c r="E411" s="6"/>
      <c r="F411" s="7"/>
      <c r="G411" s="74"/>
      <c r="H411" s="74"/>
      <c r="I411" s="74"/>
      <c r="J411" s="83"/>
      <c r="K411" s="82"/>
      <c r="L411" s="77"/>
      <c r="M411" s="77"/>
      <c r="N411" s="77"/>
      <c r="O411" s="77"/>
      <c r="P411" s="77"/>
      <c r="Q411" s="77"/>
      <c r="R411" s="77"/>
      <c r="S411" s="77"/>
      <c r="T411" s="77"/>
      <c r="U411" s="9"/>
      <c r="V411" s="89"/>
      <c r="W411" s="102"/>
    </row>
    <row r="412" spans="1:23">
      <c r="A412" s="5"/>
      <c r="B412" s="6"/>
      <c r="C412" s="6"/>
      <c r="D412" s="6"/>
      <c r="E412" s="6"/>
      <c r="F412" s="7"/>
      <c r="G412" s="74"/>
      <c r="H412" s="74"/>
      <c r="I412" s="74"/>
      <c r="J412" s="83"/>
      <c r="K412" s="82"/>
      <c r="L412" s="77"/>
      <c r="M412" s="77"/>
      <c r="N412" s="77"/>
      <c r="O412" s="77"/>
      <c r="P412" s="77"/>
      <c r="Q412" s="77"/>
      <c r="R412" s="77"/>
      <c r="S412" s="77"/>
      <c r="T412" s="77"/>
      <c r="U412" s="9"/>
      <c r="V412" s="89"/>
      <c r="W412" s="102"/>
    </row>
    <row r="413" spans="1:23">
      <c r="A413" s="5"/>
      <c r="B413" s="6"/>
      <c r="C413" s="6"/>
      <c r="D413" s="6"/>
      <c r="E413" s="6"/>
      <c r="F413" s="7"/>
      <c r="G413" s="74"/>
      <c r="H413" s="74"/>
      <c r="I413" s="74"/>
      <c r="J413" s="83"/>
      <c r="K413" s="82"/>
      <c r="L413" s="77"/>
      <c r="M413" s="77"/>
      <c r="N413" s="77"/>
      <c r="O413" s="77"/>
      <c r="P413" s="77"/>
      <c r="Q413" s="77"/>
      <c r="R413" s="77"/>
      <c r="S413" s="77"/>
      <c r="T413" s="77"/>
      <c r="U413" s="9"/>
      <c r="V413" s="89"/>
      <c r="W413" s="102"/>
    </row>
    <row r="414" spans="1:23">
      <c r="A414" s="5"/>
      <c r="B414" s="6"/>
      <c r="C414" s="6"/>
      <c r="D414" s="6"/>
      <c r="E414" s="6"/>
      <c r="F414" s="7"/>
      <c r="G414" s="74"/>
      <c r="H414" s="74"/>
      <c r="I414" s="74"/>
      <c r="J414" s="83"/>
      <c r="K414" s="82"/>
      <c r="L414" s="77"/>
      <c r="M414" s="77"/>
      <c r="N414" s="77"/>
      <c r="O414" s="77"/>
      <c r="P414" s="77"/>
      <c r="Q414" s="77"/>
      <c r="R414" s="77"/>
      <c r="S414" s="77"/>
      <c r="T414" s="77"/>
      <c r="U414" s="9"/>
      <c r="V414" s="89"/>
      <c r="W414" s="102"/>
    </row>
    <row r="415" spans="1:23">
      <c r="A415" s="5"/>
      <c r="B415" s="6"/>
      <c r="C415" s="6"/>
      <c r="D415" s="6"/>
      <c r="E415" s="6"/>
      <c r="F415" s="7"/>
      <c r="G415" s="74"/>
      <c r="H415" s="74"/>
      <c r="I415" s="74"/>
      <c r="J415" s="83"/>
      <c r="K415" s="82"/>
      <c r="L415" s="77"/>
      <c r="M415" s="77"/>
      <c r="N415" s="77"/>
      <c r="O415" s="77"/>
      <c r="P415" s="77"/>
      <c r="Q415" s="77"/>
      <c r="R415" s="77"/>
      <c r="S415" s="77"/>
      <c r="T415" s="77"/>
      <c r="U415" s="9"/>
      <c r="V415" s="89"/>
      <c r="W415" s="102"/>
    </row>
    <row r="416" spans="1:23">
      <c r="A416" s="5"/>
      <c r="B416" s="6"/>
      <c r="C416" s="6"/>
      <c r="D416" s="6"/>
      <c r="E416" s="6"/>
      <c r="F416" s="7"/>
      <c r="G416" s="74"/>
      <c r="H416" s="74"/>
      <c r="I416" s="74"/>
      <c r="J416" s="83"/>
      <c r="K416" s="82"/>
      <c r="L416" s="77"/>
      <c r="M416" s="77"/>
      <c r="N416" s="77"/>
      <c r="O416" s="77"/>
      <c r="P416" s="77"/>
      <c r="Q416" s="77"/>
      <c r="R416" s="77"/>
      <c r="S416" s="77"/>
      <c r="T416" s="77"/>
      <c r="U416" s="9"/>
      <c r="V416" s="89"/>
      <c r="W416" s="102"/>
    </row>
    <row r="417" spans="1:23">
      <c r="A417" s="5"/>
      <c r="B417" s="6"/>
      <c r="C417" s="6"/>
      <c r="D417" s="6"/>
      <c r="E417" s="6"/>
      <c r="F417" s="7"/>
      <c r="G417" s="74"/>
      <c r="H417" s="74"/>
      <c r="I417" s="74"/>
      <c r="J417" s="83"/>
      <c r="K417" s="82"/>
      <c r="L417" s="77"/>
      <c r="M417" s="77"/>
      <c r="N417" s="77"/>
      <c r="O417" s="77"/>
      <c r="P417" s="77"/>
      <c r="Q417" s="77"/>
      <c r="R417" s="77"/>
      <c r="S417" s="77"/>
      <c r="T417" s="77"/>
      <c r="U417" s="9"/>
      <c r="V417" s="89"/>
      <c r="W417" s="102"/>
    </row>
    <row r="418" spans="1:23">
      <c r="A418" s="5"/>
      <c r="B418" s="6"/>
      <c r="C418" s="6"/>
      <c r="D418" s="6"/>
      <c r="E418" s="6"/>
      <c r="F418" s="7"/>
      <c r="G418" s="74"/>
      <c r="H418" s="74"/>
      <c r="I418" s="74"/>
      <c r="J418" s="83"/>
      <c r="K418" s="82"/>
      <c r="L418" s="77"/>
      <c r="M418" s="77"/>
      <c r="N418" s="77"/>
      <c r="O418" s="77"/>
      <c r="P418" s="77"/>
      <c r="Q418" s="77"/>
      <c r="R418" s="77"/>
      <c r="S418" s="77"/>
      <c r="T418" s="77"/>
      <c r="U418" s="9"/>
      <c r="V418" s="89"/>
      <c r="W418" s="102"/>
    </row>
    <row r="419" spans="1:23">
      <c r="A419" s="5"/>
      <c r="B419" s="6"/>
      <c r="C419" s="6"/>
      <c r="D419" s="6"/>
      <c r="E419" s="6"/>
      <c r="F419" s="7"/>
      <c r="G419" s="74"/>
      <c r="H419" s="74"/>
      <c r="I419" s="74"/>
      <c r="J419" s="83"/>
      <c r="K419" s="82"/>
      <c r="L419" s="77"/>
      <c r="M419" s="77"/>
      <c r="N419" s="77"/>
      <c r="O419" s="77"/>
      <c r="P419" s="77"/>
      <c r="Q419" s="77"/>
      <c r="R419" s="77"/>
      <c r="S419" s="77"/>
      <c r="T419" s="77"/>
      <c r="U419" s="9"/>
      <c r="V419" s="89"/>
      <c r="W419" s="102"/>
    </row>
    <row r="420" spans="1:23">
      <c r="A420" s="5"/>
      <c r="B420" s="6"/>
      <c r="C420" s="6"/>
      <c r="D420" s="6"/>
      <c r="E420" s="6"/>
      <c r="F420" s="7"/>
      <c r="G420" s="74"/>
      <c r="H420" s="74"/>
      <c r="I420" s="74"/>
      <c r="J420" s="83"/>
      <c r="K420" s="82"/>
      <c r="L420" s="77"/>
      <c r="M420" s="77"/>
      <c r="N420" s="77"/>
      <c r="O420" s="77"/>
      <c r="P420" s="77"/>
      <c r="Q420" s="77"/>
      <c r="R420" s="77"/>
      <c r="S420" s="77"/>
      <c r="T420" s="77"/>
      <c r="U420" s="9"/>
      <c r="V420" s="89"/>
      <c r="W420" s="102"/>
    </row>
    <row r="421" spans="1:23">
      <c r="A421" s="5"/>
      <c r="B421" s="6"/>
      <c r="C421" s="6"/>
      <c r="D421" s="6"/>
      <c r="E421" s="6"/>
      <c r="F421" s="7"/>
      <c r="G421" s="74"/>
      <c r="H421" s="74"/>
      <c r="I421" s="74"/>
      <c r="J421" s="83"/>
      <c r="K421" s="82"/>
      <c r="L421" s="77"/>
      <c r="M421" s="77"/>
      <c r="N421" s="77"/>
      <c r="O421" s="77"/>
      <c r="P421" s="77"/>
      <c r="Q421" s="77"/>
      <c r="R421" s="77"/>
      <c r="S421" s="77"/>
      <c r="T421" s="77"/>
      <c r="U421" s="9"/>
      <c r="V421" s="89"/>
      <c r="W421" s="102"/>
    </row>
    <row r="422" spans="1:23">
      <c r="A422" s="5"/>
      <c r="B422" s="6"/>
      <c r="C422" s="6"/>
      <c r="D422" s="6"/>
      <c r="E422" s="6"/>
      <c r="F422" s="7"/>
      <c r="G422" s="74"/>
      <c r="H422" s="74"/>
      <c r="I422" s="74"/>
      <c r="J422" s="83"/>
      <c r="K422" s="82"/>
      <c r="L422" s="77"/>
      <c r="M422" s="77"/>
      <c r="N422" s="77"/>
      <c r="O422" s="77"/>
      <c r="P422" s="77"/>
      <c r="Q422" s="77"/>
      <c r="R422" s="77"/>
      <c r="S422" s="77"/>
      <c r="T422" s="77"/>
      <c r="U422" s="9"/>
      <c r="V422" s="89"/>
      <c r="W422" s="102"/>
    </row>
    <row r="423" spans="1:23">
      <c r="A423" s="5"/>
      <c r="B423" s="6"/>
      <c r="C423" s="6"/>
      <c r="D423" s="6"/>
      <c r="E423" s="6"/>
      <c r="F423" s="7"/>
      <c r="G423" s="74"/>
      <c r="H423" s="74"/>
      <c r="I423" s="74"/>
      <c r="J423" s="83"/>
      <c r="K423" s="82"/>
      <c r="L423" s="77"/>
      <c r="M423" s="77"/>
      <c r="N423" s="77"/>
      <c r="O423" s="77"/>
      <c r="P423" s="77"/>
      <c r="Q423" s="77"/>
      <c r="R423" s="77"/>
      <c r="S423" s="77"/>
      <c r="T423" s="77"/>
      <c r="U423" s="9"/>
      <c r="V423" s="89"/>
      <c r="W423" s="102"/>
    </row>
    <row r="424" spans="1:23">
      <c r="A424" s="5"/>
      <c r="B424" s="6"/>
      <c r="C424" s="6"/>
      <c r="D424" s="6"/>
      <c r="E424" s="6"/>
      <c r="F424" s="7"/>
      <c r="G424" s="74"/>
      <c r="H424" s="74"/>
      <c r="I424" s="74"/>
      <c r="J424" s="83"/>
      <c r="K424" s="82"/>
      <c r="L424" s="77"/>
      <c r="M424" s="77"/>
      <c r="N424" s="77"/>
      <c r="O424" s="77"/>
      <c r="P424" s="77"/>
      <c r="Q424" s="77"/>
      <c r="R424" s="77"/>
      <c r="S424" s="77"/>
      <c r="T424" s="77"/>
      <c r="U424" s="9"/>
      <c r="V424" s="89"/>
      <c r="W424" s="102"/>
    </row>
    <row r="425" spans="1:23">
      <c r="A425" s="5"/>
      <c r="B425" s="6"/>
      <c r="C425" s="6"/>
      <c r="D425" s="6"/>
      <c r="E425" s="6"/>
      <c r="F425" s="7"/>
      <c r="G425" s="74"/>
      <c r="H425" s="74"/>
      <c r="I425" s="74"/>
      <c r="J425" s="83"/>
      <c r="K425" s="82"/>
      <c r="L425" s="77"/>
      <c r="M425" s="77"/>
      <c r="N425" s="77"/>
      <c r="O425" s="77"/>
      <c r="P425" s="77"/>
      <c r="Q425" s="77"/>
      <c r="R425" s="77"/>
      <c r="S425" s="77"/>
      <c r="T425" s="77"/>
      <c r="U425" s="9"/>
      <c r="V425" s="89"/>
      <c r="W425" s="102"/>
    </row>
    <row r="426" spans="1:23">
      <c r="A426" s="5"/>
      <c r="B426" s="6"/>
      <c r="C426" s="6"/>
      <c r="D426" s="6"/>
      <c r="E426" s="6"/>
      <c r="F426" s="7"/>
      <c r="G426" s="74"/>
      <c r="H426" s="74"/>
      <c r="I426" s="74"/>
      <c r="J426" s="83"/>
      <c r="K426" s="82"/>
      <c r="L426" s="77"/>
      <c r="M426" s="77"/>
      <c r="N426" s="77"/>
      <c r="O426" s="77"/>
      <c r="P426" s="77"/>
      <c r="Q426" s="77"/>
      <c r="R426" s="77"/>
      <c r="S426" s="77"/>
      <c r="T426" s="77"/>
      <c r="U426" s="9"/>
      <c r="V426" s="89"/>
      <c r="W426" s="102"/>
    </row>
    <row r="427" spans="1:23">
      <c r="A427" s="5"/>
      <c r="B427" s="6"/>
      <c r="C427" s="6"/>
      <c r="D427" s="6"/>
      <c r="E427" s="6"/>
      <c r="F427" s="7"/>
      <c r="G427" s="74"/>
      <c r="H427" s="74"/>
      <c r="I427" s="74"/>
      <c r="J427" s="83"/>
      <c r="K427" s="82"/>
      <c r="L427" s="77"/>
      <c r="M427" s="77"/>
      <c r="N427" s="77"/>
      <c r="O427" s="77"/>
      <c r="P427" s="77"/>
      <c r="Q427" s="77"/>
      <c r="R427" s="77"/>
      <c r="S427" s="77"/>
      <c r="T427" s="77"/>
      <c r="U427" s="9"/>
      <c r="V427" s="89"/>
      <c r="W427" s="102"/>
    </row>
    <row r="428" spans="1:23">
      <c r="A428" s="5"/>
      <c r="B428" s="6"/>
      <c r="C428" s="6"/>
      <c r="D428" s="6"/>
      <c r="E428" s="6"/>
      <c r="F428" s="7"/>
      <c r="G428" s="74"/>
      <c r="H428" s="74"/>
      <c r="I428" s="74"/>
      <c r="J428" s="83"/>
      <c r="K428" s="82"/>
      <c r="L428" s="77"/>
      <c r="M428" s="77"/>
      <c r="N428" s="77"/>
      <c r="O428" s="77"/>
      <c r="P428" s="77"/>
      <c r="Q428" s="77"/>
      <c r="R428" s="77"/>
      <c r="S428" s="77"/>
      <c r="T428" s="77"/>
      <c r="U428" s="9"/>
      <c r="V428" s="89"/>
      <c r="W428" s="102"/>
    </row>
    <row r="429" spans="1:23">
      <c r="A429" s="5"/>
      <c r="B429" s="6"/>
      <c r="C429" s="6"/>
      <c r="D429" s="6"/>
      <c r="E429" s="6"/>
      <c r="F429" s="7"/>
      <c r="G429" s="74"/>
      <c r="H429" s="74"/>
      <c r="I429" s="74"/>
      <c r="J429" s="83"/>
      <c r="K429" s="82"/>
      <c r="L429" s="77"/>
      <c r="M429" s="77"/>
      <c r="N429" s="77"/>
      <c r="O429" s="77"/>
      <c r="P429" s="77"/>
      <c r="Q429" s="77"/>
      <c r="R429" s="77"/>
      <c r="S429" s="77"/>
      <c r="T429" s="77"/>
      <c r="U429" s="9"/>
      <c r="V429" s="89"/>
      <c r="W429" s="102"/>
    </row>
    <row r="430" spans="1:23">
      <c r="A430" s="5"/>
      <c r="B430" s="6"/>
      <c r="C430" s="6"/>
      <c r="D430" s="6"/>
      <c r="E430" s="6"/>
      <c r="F430" s="7"/>
      <c r="G430" s="74"/>
      <c r="H430" s="74"/>
      <c r="I430" s="74"/>
      <c r="J430" s="83"/>
      <c r="K430" s="82"/>
      <c r="L430" s="77"/>
      <c r="M430" s="77"/>
      <c r="N430" s="77"/>
      <c r="O430" s="77"/>
      <c r="P430" s="77"/>
      <c r="Q430" s="77"/>
      <c r="R430" s="77"/>
      <c r="S430" s="77"/>
      <c r="T430" s="77"/>
      <c r="U430" s="9"/>
      <c r="V430" s="89"/>
      <c r="W430" s="102"/>
    </row>
    <row r="431" spans="1:23">
      <c r="A431" s="5"/>
      <c r="B431" s="6"/>
      <c r="C431" s="6"/>
      <c r="D431" s="6"/>
      <c r="E431" s="6"/>
      <c r="F431" s="7"/>
      <c r="G431" s="74"/>
      <c r="H431" s="74"/>
      <c r="I431" s="74"/>
      <c r="J431" s="83"/>
      <c r="K431" s="82"/>
      <c r="L431" s="77"/>
      <c r="M431" s="77"/>
      <c r="N431" s="77"/>
      <c r="O431" s="77"/>
      <c r="P431" s="77"/>
      <c r="Q431" s="77"/>
      <c r="R431" s="77"/>
      <c r="S431" s="77"/>
      <c r="T431" s="77"/>
      <c r="U431" s="9"/>
      <c r="V431" s="89"/>
      <c r="W431" s="102"/>
    </row>
    <row r="432" spans="1:23">
      <c r="A432" s="5"/>
      <c r="B432" s="6"/>
      <c r="C432" s="6"/>
      <c r="D432" s="6"/>
      <c r="E432" s="6"/>
      <c r="F432" s="7"/>
      <c r="G432" s="74"/>
      <c r="H432" s="74"/>
      <c r="I432" s="74"/>
      <c r="J432" s="83"/>
      <c r="K432" s="82"/>
      <c r="L432" s="77"/>
      <c r="M432" s="77"/>
      <c r="N432" s="77"/>
      <c r="O432" s="77"/>
      <c r="P432" s="77"/>
      <c r="Q432" s="77"/>
      <c r="R432" s="77"/>
      <c r="S432" s="77"/>
      <c r="T432" s="77"/>
      <c r="U432" s="9"/>
      <c r="V432" s="89"/>
      <c r="W432" s="102"/>
    </row>
    <row r="433" spans="1:23">
      <c r="A433" s="5"/>
      <c r="B433" s="6"/>
      <c r="C433" s="6"/>
      <c r="D433" s="6"/>
      <c r="E433" s="6"/>
      <c r="F433" s="7"/>
      <c r="G433" s="74"/>
      <c r="H433" s="74"/>
      <c r="I433" s="74"/>
      <c r="J433" s="83"/>
      <c r="K433" s="82"/>
      <c r="L433" s="77"/>
      <c r="M433" s="77"/>
      <c r="N433" s="77"/>
      <c r="O433" s="77"/>
      <c r="P433" s="77"/>
      <c r="Q433" s="77"/>
      <c r="R433" s="77"/>
      <c r="S433" s="77"/>
      <c r="T433" s="77"/>
      <c r="U433" s="9"/>
      <c r="V433" s="89"/>
      <c r="W433" s="102"/>
    </row>
    <row r="434" spans="1:23">
      <c r="A434" s="5"/>
      <c r="B434" s="6"/>
      <c r="C434" s="6"/>
      <c r="D434" s="6"/>
      <c r="E434" s="6"/>
      <c r="F434" s="7"/>
      <c r="G434" s="74"/>
      <c r="H434" s="74"/>
      <c r="I434" s="74"/>
      <c r="J434" s="83"/>
      <c r="K434" s="82"/>
      <c r="L434" s="77"/>
      <c r="M434" s="77"/>
      <c r="N434" s="77"/>
      <c r="O434" s="77"/>
      <c r="P434" s="77"/>
      <c r="Q434" s="77"/>
      <c r="R434" s="77"/>
      <c r="S434" s="77"/>
      <c r="T434" s="77"/>
      <c r="U434" s="9"/>
      <c r="V434" s="89"/>
      <c r="W434" s="102"/>
    </row>
    <row r="435" spans="1:23">
      <c r="A435" s="5"/>
      <c r="B435" s="6"/>
      <c r="C435" s="6"/>
      <c r="D435" s="6"/>
      <c r="E435" s="6"/>
      <c r="F435" s="7"/>
      <c r="G435" s="74"/>
      <c r="H435" s="74"/>
      <c r="I435" s="74"/>
      <c r="J435" s="83"/>
      <c r="K435" s="82"/>
      <c r="L435" s="77"/>
      <c r="M435" s="77"/>
      <c r="N435" s="77"/>
      <c r="O435" s="77"/>
      <c r="P435" s="77"/>
      <c r="Q435" s="77"/>
      <c r="R435" s="77"/>
      <c r="S435" s="77"/>
      <c r="T435" s="77"/>
      <c r="U435" s="9"/>
      <c r="V435" s="89"/>
      <c r="W435" s="102"/>
    </row>
    <row r="436" spans="1:23">
      <c r="A436" s="5"/>
      <c r="B436" s="6"/>
      <c r="C436" s="6"/>
      <c r="D436" s="6"/>
      <c r="E436" s="6"/>
      <c r="F436" s="7"/>
      <c r="G436" s="74"/>
      <c r="H436" s="74"/>
      <c r="I436" s="74"/>
      <c r="J436" s="83"/>
      <c r="K436" s="82"/>
      <c r="L436" s="77"/>
      <c r="M436" s="77"/>
      <c r="N436" s="77"/>
      <c r="O436" s="77"/>
      <c r="P436" s="77"/>
      <c r="Q436" s="77"/>
      <c r="R436" s="77"/>
      <c r="S436" s="77"/>
      <c r="T436" s="77"/>
      <c r="U436" s="9"/>
      <c r="V436" s="89"/>
      <c r="W436" s="102"/>
    </row>
    <row r="437" spans="1:23">
      <c r="A437" s="5"/>
      <c r="B437" s="6"/>
      <c r="C437" s="6"/>
      <c r="D437" s="6"/>
      <c r="E437" s="6"/>
      <c r="F437" s="7"/>
      <c r="G437" s="74"/>
      <c r="H437" s="74"/>
      <c r="I437" s="74"/>
      <c r="J437" s="83"/>
      <c r="K437" s="82"/>
      <c r="L437" s="77"/>
      <c r="M437" s="77"/>
      <c r="N437" s="77"/>
      <c r="O437" s="77"/>
      <c r="P437" s="77"/>
      <c r="Q437" s="77"/>
      <c r="R437" s="77"/>
      <c r="S437" s="77"/>
      <c r="T437" s="77"/>
      <c r="U437" s="9"/>
      <c r="V437" s="89"/>
      <c r="W437" s="102"/>
    </row>
    <row r="438" spans="1:23">
      <c r="A438" s="5"/>
      <c r="B438" s="6"/>
      <c r="C438" s="6"/>
      <c r="D438" s="6"/>
      <c r="E438" s="6"/>
      <c r="F438" s="7"/>
      <c r="G438" s="74"/>
      <c r="H438" s="74"/>
      <c r="I438" s="74"/>
      <c r="J438" s="83"/>
      <c r="K438" s="82"/>
      <c r="L438" s="77"/>
      <c r="M438" s="77"/>
      <c r="N438" s="77"/>
      <c r="O438" s="77"/>
      <c r="P438" s="77"/>
      <c r="Q438" s="77"/>
      <c r="R438" s="77"/>
      <c r="S438" s="77"/>
      <c r="T438" s="77"/>
      <c r="U438" s="9"/>
      <c r="V438" s="89"/>
      <c r="W438" s="102"/>
    </row>
    <row r="439" spans="1:23">
      <c r="A439" s="5"/>
      <c r="B439" s="6"/>
      <c r="C439" s="6"/>
      <c r="D439" s="6"/>
      <c r="E439" s="6"/>
      <c r="F439" s="7"/>
      <c r="G439" s="74"/>
      <c r="H439" s="74"/>
      <c r="I439" s="74"/>
      <c r="J439" s="83"/>
      <c r="K439" s="82"/>
      <c r="L439" s="77"/>
      <c r="M439" s="77"/>
      <c r="N439" s="77"/>
      <c r="O439" s="77"/>
      <c r="P439" s="77"/>
      <c r="Q439" s="77"/>
      <c r="R439" s="77"/>
      <c r="S439" s="77"/>
      <c r="T439" s="77"/>
      <c r="U439" s="9"/>
      <c r="V439" s="89"/>
      <c r="W439" s="102"/>
    </row>
    <row r="440" spans="1:23">
      <c r="A440" s="5"/>
      <c r="B440" s="6"/>
      <c r="C440" s="6"/>
      <c r="D440" s="6"/>
      <c r="E440" s="6"/>
      <c r="F440" s="7"/>
      <c r="G440" s="74"/>
      <c r="H440" s="74"/>
      <c r="I440" s="74"/>
      <c r="J440" s="83"/>
      <c r="K440" s="82"/>
      <c r="L440" s="77"/>
      <c r="M440" s="77"/>
      <c r="N440" s="77"/>
      <c r="O440" s="77"/>
      <c r="P440" s="77"/>
      <c r="Q440" s="77"/>
      <c r="R440" s="77"/>
      <c r="S440" s="77"/>
      <c r="T440" s="77"/>
      <c r="U440" s="9"/>
      <c r="V440" s="89"/>
      <c r="W440" s="102"/>
    </row>
    <row r="441" spans="1:23">
      <c r="A441" s="5"/>
      <c r="B441" s="6"/>
      <c r="C441" s="6"/>
      <c r="D441" s="6"/>
      <c r="E441" s="6"/>
      <c r="F441" s="7"/>
      <c r="G441" s="74"/>
      <c r="H441" s="74"/>
      <c r="I441" s="74"/>
      <c r="J441" s="83"/>
      <c r="K441" s="82"/>
      <c r="L441" s="77"/>
      <c r="M441" s="77"/>
      <c r="N441" s="77"/>
      <c r="O441" s="77"/>
      <c r="P441" s="77"/>
      <c r="Q441" s="77"/>
      <c r="R441" s="77"/>
      <c r="S441" s="77"/>
      <c r="T441" s="77"/>
      <c r="U441" s="9"/>
      <c r="V441" s="89"/>
      <c r="W441" s="102"/>
    </row>
    <row r="442" spans="1:23">
      <c r="A442" s="5"/>
      <c r="B442" s="6"/>
      <c r="C442" s="6"/>
      <c r="D442" s="6"/>
      <c r="E442" s="6"/>
      <c r="F442" s="7"/>
      <c r="G442" s="74"/>
      <c r="H442" s="74"/>
      <c r="I442" s="74"/>
      <c r="J442" s="83"/>
      <c r="K442" s="82"/>
      <c r="L442" s="77"/>
      <c r="M442" s="77"/>
      <c r="N442" s="77"/>
      <c r="O442" s="77"/>
      <c r="P442" s="77"/>
      <c r="Q442" s="77"/>
      <c r="R442" s="77"/>
      <c r="S442" s="77"/>
      <c r="T442" s="77"/>
      <c r="U442" s="9"/>
      <c r="V442" s="89"/>
      <c r="W442" s="102"/>
    </row>
    <row r="443" spans="1:23">
      <c r="A443" s="5"/>
      <c r="B443" s="6"/>
      <c r="C443" s="6"/>
      <c r="D443" s="6"/>
      <c r="E443" s="6"/>
      <c r="F443" s="7"/>
      <c r="G443" s="74"/>
      <c r="H443" s="74"/>
      <c r="I443" s="74"/>
      <c r="J443" s="83"/>
      <c r="K443" s="82"/>
      <c r="L443" s="77"/>
      <c r="M443" s="77"/>
      <c r="N443" s="77"/>
      <c r="O443" s="77"/>
      <c r="P443" s="77"/>
      <c r="Q443" s="77"/>
      <c r="R443" s="77"/>
      <c r="S443" s="77"/>
      <c r="T443" s="77"/>
      <c r="U443" s="9"/>
      <c r="V443" s="89"/>
      <c r="W443" s="102"/>
    </row>
    <row r="444" spans="1:23">
      <c r="A444" s="5"/>
      <c r="B444" s="6"/>
      <c r="C444" s="6"/>
      <c r="D444" s="6"/>
      <c r="E444" s="6"/>
      <c r="F444" s="7"/>
      <c r="G444" s="74"/>
      <c r="H444" s="74"/>
      <c r="I444" s="74"/>
      <c r="J444" s="83"/>
      <c r="K444" s="82"/>
      <c r="L444" s="77"/>
      <c r="M444" s="77"/>
      <c r="N444" s="77"/>
      <c r="O444" s="77"/>
      <c r="P444" s="77"/>
      <c r="Q444" s="77"/>
      <c r="R444" s="77"/>
      <c r="S444" s="77"/>
      <c r="T444" s="77"/>
      <c r="U444" s="9"/>
      <c r="V444" s="89"/>
      <c r="W444" s="102"/>
    </row>
    <row r="445" spans="1:23">
      <c r="A445" s="5"/>
      <c r="B445" s="6"/>
      <c r="C445" s="6"/>
      <c r="D445" s="6"/>
      <c r="E445" s="6"/>
      <c r="F445" s="7"/>
      <c r="G445" s="74"/>
      <c r="H445" s="74"/>
      <c r="I445" s="74"/>
      <c r="J445" s="83"/>
      <c r="K445" s="82"/>
      <c r="L445" s="77"/>
      <c r="M445" s="77"/>
      <c r="N445" s="77"/>
      <c r="O445" s="77"/>
      <c r="P445" s="77"/>
      <c r="Q445" s="77"/>
      <c r="R445" s="77"/>
      <c r="S445" s="77"/>
      <c r="T445" s="77"/>
      <c r="U445" s="9"/>
      <c r="V445" s="89"/>
      <c r="W445" s="102"/>
    </row>
    <row r="446" spans="1:23">
      <c r="A446" s="5"/>
      <c r="B446" s="6"/>
      <c r="C446" s="6"/>
      <c r="D446" s="6"/>
      <c r="E446" s="6"/>
      <c r="F446" s="7"/>
      <c r="G446" s="74"/>
      <c r="H446" s="74"/>
      <c r="I446" s="74"/>
      <c r="J446" s="83"/>
      <c r="K446" s="82"/>
      <c r="L446" s="77"/>
      <c r="M446" s="77"/>
      <c r="N446" s="77"/>
      <c r="O446" s="77"/>
      <c r="P446" s="77"/>
      <c r="Q446" s="77"/>
      <c r="R446" s="77"/>
      <c r="S446" s="77"/>
      <c r="T446" s="77"/>
      <c r="U446" s="9"/>
      <c r="V446" s="89"/>
      <c r="W446" s="102"/>
    </row>
    <row r="447" spans="1:23">
      <c r="A447" s="5"/>
      <c r="B447" s="6"/>
      <c r="C447" s="6"/>
      <c r="D447" s="6"/>
      <c r="E447" s="6"/>
      <c r="F447" s="7"/>
      <c r="G447" s="74"/>
      <c r="H447" s="74"/>
      <c r="I447" s="74"/>
      <c r="J447" s="83"/>
      <c r="K447" s="82"/>
      <c r="L447" s="77"/>
      <c r="M447" s="77"/>
      <c r="N447" s="77"/>
      <c r="O447" s="77"/>
      <c r="P447" s="77"/>
      <c r="Q447" s="77"/>
      <c r="R447" s="77"/>
      <c r="S447" s="77"/>
      <c r="T447" s="77"/>
      <c r="U447" s="9"/>
      <c r="V447" s="89"/>
      <c r="W447" s="102"/>
    </row>
    <row r="448" spans="1:23">
      <c r="A448" s="5"/>
      <c r="B448" s="6"/>
      <c r="C448" s="6"/>
      <c r="D448" s="6"/>
      <c r="E448" s="6"/>
      <c r="F448" s="7"/>
      <c r="G448" s="74"/>
      <c r="H448" s="74"/>
      <c r="I448" s="74"/>
      <c r="J448" s="83"/>
      <c r="K448" s="82"/>
      <c r="L448" s="77"/>
      <c r="M448" s="77"/>
      <c r="N448" s="77"/>
      <c r="O448" s="77"/>
      <c r="P448" s="77"/>
      <c r="Q448" s="77"/>
      <c r="R448" s="77"/>
      <c r="S448" s="77"/>
      <c r="T448" s="77"/>
      <c r="U448" s="9"/>
      <c r="V448" s="89"/>
      <c r="W448" s="102"/>
    </row>
    <row r="449" spans="1:23">
      <c r="A449" s="5"/>
      <c r="B449" s="6"/>
      <c r="C449" s="6"/>
      <c r="D449" s="6"/>
      <c r="E449" s="6"/>
      <c r="F449" s="7"/>
      <c r="G449" s="74"/>
      <c r="H449" s="74"/>
      <c r="I449" s="74"/>
      <c r="J449" s="83"/>
      <c r="K449" s="82"/>
      <c r="L449" s="77"/>
      <c r="M449" s="77"/>
      <c r="N449" s="77"/>
      <c r="O449" s="77"/>
      <c r="P449" s="77"/>
      <c r="Q449" s="77"/>
      <c r="R449" s="77"/>
      <c r="S449" s="77"/>
      <c r="T449" s="77"/>
      <c r="U449" s="9"/>
      <c r="V449" s="89"/>
      <c r="W449" s="102"/>
    </row>
    <row r="450" spans="1:23">
      <c r="A450" s="5"/>
      <c r="B450" s="6"/>
      <c r="C450" s="6"/>
      <c r="D450" s="6"/>
      <c r="E450" s="6"/>
      <c r="F450" s="7"/>
      <c r="G450" s="74"/>
      <c r="H450" s="74"/>
      <c r="I450" s="74"/>
      <c r="J450" s="83"/>
      <c r="K450" s="82"/>
      <c r="L450" s="77"/>
      <c r="M450" s="77"/>
      <c r="N450" s="77"/>
      <c r="O450" s="77"/>
      <c r="P450" s="77"/>
      <c r="Q450" s="77"/>
      <c r="R450" s="77"/>
      <c r="S450" s="77"/>
      <c r="T450" s="77"/>
      <c r="U450" s="9"/>
      <c r="V450" s="89"/>
      <c r="W450" s="102"/>
    </row>
    <row r="451" spans="1:23">
      <c r="A451" s="5"/>
      <c r="B451" s="6"/>
      <c r="C451" s="6"/>
      <c r="D451" s="6"/>
      <c r="E451" s="6"/>
      <c r="F451" s="7"/>
      <c r="G451" s="74"/>
      <c r="H451" s="74"/>
      <c r="I451" s="74"/>
      <c r="J451" s="83"/>
      <c r="K451" s="82"/>
      <c r="L451" s="77"/>
      <c r="M451" s="77"/>
      <c r="N451" s="77"/>
      <c r="O451" s="77"/>
      <c r="P451" s="77"/>
      <c r="Q451" s="77"/>
      <c r="R451" s="77"/>
      <c r="S451" s="77"/>
      <c r="T451" s="77"/>
      <c r="U451" s="9"/>
      <c r="V451" s="89"/>
      <c r="W451" s="102"/>
    </row>
    <row r="452" spans="1:23">
      <c r="A452" s="5"/>
      <c r="B452" s="6"/>
      <c r="C452" s="6"/>
      <c r="D452" s="6"/>
      <c r="E452" s="6"/>
      <c r="F452" s="7"/>
      <c r="G452" s="74"/>
      <c r="H452" s="74"/>
      <c r="I452" s="74"/>
      <c r="J452" s="83"/>
      <c r="K452" s="82"/>
      <c r="L452" s="77"/>
      <c r="M452" s="77"/>
      <c r="N452" s="77"/>
      <c r="O452" s="77"/>
      <c r="P452" s="77"/>
      <c r="Q452" s="77"/>
      <c r="R452" s="77"/>
      <c r="S452" s="77"/>
      <c r="T452" s="77"/>
      <c r="U452" s="9"/>
      <c r="V452" s="89"/>
      <c r="W452" s="102"/>
    </row>
    <row r="453" spans="1:23">
      <c r="A453" s="5"/>
      <c r="B453" s="6"/>
      <c r="C453" s="6"/>
      <c r="D453" s="6"/>
      <c r="E453" s="6"/>
      <c r="F453" s="7"/>
      <c r="G453" s="74"/>
      <c r="H453" s="74"/>
      <c r="I453" s="74"/>
      <c r="J453" s="83"/>
      <c r="K453" s="82"/>
      <c r="L453" s="77"/>
      <c r="M453" s="77"/>
      <c r="N453" s="77"/>
      <c r="O453" s="77"/>
      <c r="P453" s="77"/>
      <c r="Q453" s="77"/>
      <c r="R453" s="77"/>
      <c r="S453" s="77"/>
      <c r="T453" s="77"/>
      <c r="U453" s="9"/>
      <c r="V453" s="89"/>
      <c r="W453" s="102"/>
    </row>
    <row r="454" spans="1:23">
      <c r="A454" s="5"/>
      <c r="B454" s="6"/>
      <c r="C454" s="6"/>
      <c r="D454" s="6"/>
      <c r="E454" s="6"/>
      <c r="F454" s="7"/>
      <c r="G454" s="74"/>
      <c r="H454" s="74"/>
      <c r="I454" s="74"/>
      <c r="J454" s="83"/>
      <c r="K454" s="82"/>
      <c r="L454" s="77"/>
      <c r="M454" s="77"/>
      <c r="N454" s="77"/>
      <c r="O454" s="77"/>
      <c r="P454" s="77"/>
      <c r="Q454" s="77"/>
      <c r="R454" s="77"/>
      <c r="S454" s="77"/>
      <c r="T454" s="77"/>
      <c r="U454" s="9"/>
      <c r="V454" s="89"/>
      <c r="W454" s="102"/>
    </row>
    <row r="455" spans="1:23">
      <c r="A455" s="5"/>
      <c r="B455" s="6"/>
      <c r="C455" s="6"/>
      <c r="D455" s="6"/>
      <c r="E455" s="6"/>
      <c r="F455" s="7"/>
      <c r="G455" s="74"/>
      <c r="H455" s="74"/>
      <c r="I455" s="74"/>
      <c r="J455" s="83"/>
      <c r="K455" s="82"/>
      <c r="L455" s="77"/>
      <c r="M455" s="77"/>
      <c r="N455" s="77"/>
      <c r="O455" s="77"/>
      <c r="P455" s="77"/>
      <c r="Q455" s="77"/>
      <c r="R455" s="77"/>
      <c r="S455" s="77"/>
      <c r="T455" s="77"/>
      <c r="U455" s="9"/>
      <c r="V455" s="89"/>
      <c r="W455" s="102"/>
    </row>
    <row r="456" spans="1:23">
      <c r="A456" s="5"/>
      <c r="B456" s="6"/>
      <c r="C456" s="6"/>
      <c r="D456" s="6"/>
      <c r="E456" s="6"/>
      <c r="F456" s="7"/>
      <c r="G456" s="74"/>
      <c r="H456" s="74"/>
      <c r="I456" s="74"/>
      <c r="J456" s="83"/>
      <c r="K456" s="82"/>
      <c r="L456" s="77"/>
      <c r="M456" s="77"/>
      <c r="N456" s="77"/>
      <c r="O456" s="77"/>
      <c r="P456" s="77"/>
      <c r="Q456" s="77"/>
      <c r="R456" s="77"/>
      <c r="S456" s="77"/>
      <c r="T456" s="77"/>
      <c r="U456" s="9"/>
      <c r="V456" s="89"/>
      <c r="W456" s="102"/>
    </row>
    <row r="457" spans="1:23">
      <c r="A457" s="5"/>
      <c r="B457" s="6"/>
      <c r="C457" s="6"/>
      <c r="D457" s="6"/>
      <c r="E457" s="6"/>
      <c r="F457" s="7"/>
      <c r="G457" s="74"/>
      <c r="H457" s="74"/>
      <c r="I457" s="74"/>
      <c r="J457" s="83"/>
      <c r="K457" s="82"/>
      <c r="L457" s="77"/>
      <c r="M457" s="77"/>
      <c r="N457" s="77"/>
      <c r="O457" s="77"/>
      <c r="P457" s="77"/>
      <c r="Q457" s="77"/>
      <c r="R457" s="77"/>
      <c r="S457" s="77"/>
      <c r="T457" s="77"/>
      <c r="U457" s="9"/>
      <c r="V457" s="89"/>
      <c r="W457" s="102"/>
    </row>
    <row r="458" spans="1:23">
      <c r="A458" s="5"/>
      <c r="B458" s="6"/>
      <c r="C458" s="6"/>
      <c r="D458" s="6"/>
      <c r="E458" s="6"/>
      <c r="F458" s="7"/>
      <c r="G458" s="74"/>
      <c r="H458" s="74"/>
      <c r="I458" s="74"/>
      <c r="J458" s="83"/>
      <c r="K458" s="82"/>
      <c r="L458" s="77"/>
      <c r="M458" s="77"/>
      <c r="N458" s="77"/>
      <c r="O458" s="77"/>
      <c r="P458" s="77"/>
      <c r="Q458" s="77"/>
      <c r="R458" s="77"/>
      <c r="S458" s="77"/>
      <c r="T458" s="77"/>
      <c r="U458" s="9"/>
      <c r="V458" s="89"/>
      <c r="W458" s="102"/>
    </row>
    <row r="459" spans="1:23">
      <c r="A459" s="5"/>
      <c r="B459" s="6"/>
      <c r="C459" s="6"/>
      <c r="D459" s="6"/>
      <c r="E459" s="6"/>
      <c r="F459" s="7"/>
      <c r="G459" s="74"/>
      <c r="H459" s="74"/>
      <c r="I459" s="74"/>
      <c r="J459" s="83"/>
      <c r="K459" s="82"/>
      <c r="L459" s="77"/>
      <c r="M459" s="77"/>
      <c r="N459" s="77"/>
      <c r="O459" s="77"/>
      <c r="P459" s="77"/>
      <c r="Q459" s="77"/>
      <c r="R459" s="77"/>
      <c r="S459" s="77"/>
      <c r="T459" s="77"/>
      <c r="U459" s="9"/>
      <c r="V459" s="89"/>
      <c r="W459" s="102"/>
    </row>
    <row r="460" spans="1:23">
      <c r="A460" s="5"/>
      <c r="B460" s="6"/>
      <c r="C460" s="6"/>
      <c r="D460" s="6"/>
      <c r="E460" s="6"/>
      <c r="F460" s="7"/>
      <c r="G460" s="74"/>
      <c r="H460" s="74"/>
      <c r="I460" s="74"/>
      <c r="J460" s="83"/>
      <c r="K460" s="82"/>
      <c r="L460" s="77"/>
      <c r="M460" s="77"/>
      <c r="N460" s="77"/>
      <c r="O460" s="77"/>
      <c r="P460" s="77"/>
      <c r="Q460" s="77"/>
      <c r="R460" s="77"/>
      <c r="S460" s="77"/>
      <c r="T460" s="77"/>
      <c r="U460" s="9"/>
      <c r="V460" s="89"/>
      <c r="W460" s="102"/>
    </row>
    <row r="461" spans="1:23">
      <c r="A461" s="5"/>
      <c r="B461" s="6"/>
      <c r="C461" s="6"/>
      <c r="D461" s="6"/>
      <c r="E461" s="6"/>
      <c r="F461" s="7"/>
      <c r="G461" s="74"/>
      <c r="H461" s="74"/>
      <c r="I461" s="74"/>
      <c r="J461" s="83"/>
      <c r="K461" s="82"/>
      <c r="L461" s="77"/>
      <c r="M461" s="77"/>
      <c r="N461" s="77"/>
      <c r="O461" s="77"/>
      <c r="P461" s="77"/>
      <c r="Q461" s="77"/>
      <c r="R461" s="77"/>
      <c r="S461" s="77"/>
      <c r="T461" s="77"/>
      <c r="U461" s="9"/>
      <c r="V461" s="89"/>
      <c r="W461" s="102"/>
    </row>
    <row r="462" spans="1:23">
      <c r="A462" s="5"/>
      <c r="B462" s="6"/>
      <c r="C462" s="6"/>
      <c r="D462" s="6"/>
      <c r="E462" s="6"/>
      <c r="F462" s="7"/>
      <c r="G462" s="74"/>
      <c r="H462" s="74"/>
      <c r="I462" s="74"/>
      <c r="J462" s="83"/>
      <c r="K462" s="82"/>
      <c r="L462" s="77"/>
      <c r="M462" s="77"/>
      <c r="N462" s="77"/>
      <c r="O462" s="77"/>
      <c r="P462" s="77"/>
      <c r="Q462" s="77"/>
      <c r="R462" s="77"/>
      <c r="S462" s="77"/>
      <c r="T462" s="77"/>
      <c r="U462" s="9"/>
      <c r="V462" s="89"/>
      <c r="W462" s="102"/>
    </row>
    <row r="463" spans="1:23">
      <c r="A463" s="5"/>
      <c r="B463" s="6"/>
      <c r="C463" s="6"/>
      <c r="D463" s="6"/>
      <c r="E463" s="6"/>
      <c r="F463" s="7"/>
      <c r="G463" s="74"/>
      <c r="H463" s="74"/>
      <c r="I463" s="74"/>
      <c r="J463" s="83"/>
      <c r="K463" s="82"/>
      <c r="L463" s="77"/>
      <c r="M463" s="77"/>
      <c r="N463" s="77"/>
      <c r="O463" s="77"/>
      <c r="P463" s="77"/>
      <c r="Q463" s="77"/>
      <c r="R463" s="77"/>
      <c r="S463" s="77"/>
      <c r="T463" s="77"/>
      <c r="U463" s="9"/>
      <c r="V463" s="89"/>
      <c r="W463" s="102"/>
    </row>
    <row r="464" spans="1:23">
      <c r="A464" s="5"/>
      <c r="B464" s="6"/>
      <c r="C464" s="6"/>
      <c r="D464" s="6"/>
      <c r="E464" s="6"/>
      <c r="F464" s="7"/>
      <c r="G464" s="74"/>
      <c r="H464" s="74"/>
      <c r="I464" s="74"/>
      <c r="J464" s="83"/>
      <c r="K464" s="82"/>
      <c r="L464" s="77"/>
      <c r="M464" s="77"/>
      <c r="N464" s="77"/>
      <c r="O464" s="77"/>
      <c r="P464" s="77"/>
      <c r="Q464" s="77"/>
      <c r="R464" s="77"/>
      <c r="S464" s="77"/>
      <c r="T464" s="77"/>
      <c r="U464" s="9"/>
      <c r="V464" s="89"/>
      <c r="W464" s="102"/>
    </row>
    <row r="465" spans="1:23">
      <c r="A465" s="5"/>
      <c r="B465" s="6"/>
      <c r="C465" s="6"/>
      <c r="D465" s="6"/>
      <c r="E465" s="6"/>
      <c r="F465" s="7"/>
      <c r="G465" s="74"/>
      <c r="H465" s="74"/>
      <c r="I465" s="74"/>
      <c r="J465" s="83"/>
      <c r="K465" s="82"/>
      <c r="L465" s="77"/>
      <c r="M465" s="77"/>
      <c r="N465" s="77"/>
      <c r="O465" s="77"/>
      <c r="P465" s="77"/>
      <c r="Q465" s="77"/>
      <c r="R465" s="77"/>
      <c r="S465" s="77"/>
      <c r="T465" s="77"/>
      <c r="U465" s="9"/>
      <c r="V465" s="89"/>
      <c r="W465" s="102"/>
    </row>
    <row r="466" spans="1:23">
      <c r="A466" s="5"/>
      <c r="B466" s="6"/>
      <c r="C466" s="6"/>
      <c r="D466" s="6"/>
      <c r="E466" s="6"/>
      <c r="F466" s="7"/>
      <c r="G466" s="74"/>
      <c r="H466" s="74"/>
      <c r="I466" s="74"/>
      <c r="J466" s="83"/>
      <c r="K466" s="82"/>
      <c r="L466" s="77"/>
      <c r="M466" s="77"/>
      <c r="N466" s="77"/>
      <c r="O466" s="77"/>
      <c r="P466" s="77"/>
      <c r="Q466" s="77"/>
      <c r="R466" s="77"/>
      <c r="S466" s="77"/>
      <c r="T466" s="77"/>
      <c r="U466" s="9"/>
      <c r="V466" s="89"/>
      <c r="W466" s="102"/>
    </row>
    <row r="467" spans="1:23">
      <c r="A467" s="5"/>
      <c r="B467" s="6"/>
      <c r="C467" s="6"/>
      <c r="D467" s="6"/>
      <c r="E467" s="6"/>
      <c r="F467" s="7"/>
      <c r="G467" s="74"/>
      <c r="H467" s="74"/>
      <c r="I467" s="74"/>
      <c r="J467" s="83"/>
      <c r="K467" s="82"/>
      <c r="L467" s="77"/>
      <c r="M467" s="77"/>
      <c r="N467" s="77"/>
      <c r="O467" s="77"/>
      <c r="P467" s="77"/>
      <c r="Q467" s="77"/>
      <c r="R467" s="77"/>
      <c r="S467" s="77"/>
      <c r="T467" s="77"/>
      <c r="U467" s="9"/>
      <c r="V467" s="89"/>
      <c r="W467" s="102"/>
    </row>
    <row r="468" spans="1:23">
      <c r="A468" s="5"/>
      <c r="B468" s="6"/>
      <c r="C468" s="6"/>
      <c r="D468" s="6"/>
      <c r="E468" s="6"/>
      <c r="F468" s="7"/>
      <c r="G468" s="74"/>
      <c r="H468" s="74"/>
      <c r="I468" s="74"/>
      <c r="J468" s="83"/>
      <c r="K468" s="82"/>
      <c r="L468" s="77"/>
      <c r="M468" s="77"/>
      <c r="N468" s="77"/>
      <c r="O468" s="77"/>
      <c r="P468" s="77"/>
      <c r="Q468" s="77"/>
      <c r="R468" s="77"/>
      <c r="S468" s="77"/>
      <c r="T468" s="77"/>
      <c r="U468" s="9"/>
      <c r="V468" s="89"/>
      <c r="W468" s="102"/>
    </row>
    <row r="469" spans="1:23">
      <c r="A469" s="5"/>
      <c r="B469" s="6"/>
      <c r="C469" s="6"/>
      <c r="D469" s="6"/>
      <c r="E469" s="6"/>
      <c r="F469" s="7"/>
      <c r="G469" s="74"/>
      <c r="H469" s="74"/>
      <c r="I469" s="74"/>
      <c r="J469" s="83"/>
      <c r="K469" s="82"/>
      <c r="L469" s="77"/>
      <c r="M469" s="77"/>
      <c r="N469" s="77"/>
      <c r="O469" s="77"/>
      <c r="P469" s="77"/>
      <c r="Q469" s="77"/>
      <c r="R469" s="77"/>
      <c r="S469" s="77"/>
      <c r="T469" s="77"/>
      <c r="U469" s="9"/>
      <c r="V469" s="89"/>
      <c r="W469" s="102"/>
    </row>
    <row r="470" spans="1:23">
      <c r="A470" s="5"/>
      <c r="B470" s="6"/>
      <c r="C470" s="6"/>
      <c r="D470" s="6"/>
      <c r="E470" s="6"/>
      <c r="F470" s="7"/>
      <c r="G470" s="74"/>
      <c r="H470" s="74"/>
      <c r="I470" s="74"/>
      <c r="J470" s="83"/>
      <c r="K470" s="82"/>
      <c r="L470" s="77"/>
      <c r="M470" s="77"/>
      <c r="N470" s="77"/>
      <c r="O470" s="77"/>
      <c r="P470" s="77"/>
      <c r="Q470" s="77"/>
      <c r="R470" s="77"/>
      <c r="S470" s="77"/>
      <c r="T470" s="77"/>
      <c r="U470" s="9"/>
    </row>
    <row r="471" spans="1:23">
      <c r="A471" s="5"/>
      <c r="B471" s="6"/>
      <c r="C471" s="6"/>
      <c r="D471" s="6"/>
      <c r="E471" s="6"/>
      <c r="F471" s="7"/>
      <c r="G471" s="74"/>
      <c r="H471" s="74"/>
      <c r="I471" s="74"/>
      <c r="J471" s="83"/>
      <c r="K471" s="82"/>
      <c r="L471" s="77"/>
      <c r="M471" s="77"/>
      <c r="N471" s="77"/>
      <c r="O471" s="77"/>
      <c r="P471" s="77"/>
      <c r="Q471" s="77"/>
      <c r="R471" s="77"/>
      <c r="S471" s="77"/>
      <c r="T471" s="77"/>
      <c r="U471" s="9"/>
    </row>
    <row r="472" spans="1:23">
      <c r="A472" s="5"/>
      <c r="B472" s="6"/>
      <c r="C472" s="6"/>
      <c r="D472" s="6"/>
      <c r="E472" s="6"/>
      <c r="F472" s="7"/>
      <c r="G472" s="74"/>
      <c r="H472" s="74"/>
      <c r="I472" s="74"/>
      <c r="J472" s="83"/>
      <c r="K472" s="82"/>
      <c r="L472" s="77"/>
      <c r="M472" s="77"/>
      <c r="N472" s="77"/>
      <c r="O472" s="77"/>
      <c r="P472" s="77"/>
      <c r="Q472" s="77"/>
      <c r="R472" s="77"/>
      <c r="S472" s="77"/>
      <c r="T472" s="77"/>
      <c r="U472" s="9"/>
    </row>
    <row r="473" spans="1:23">
      <c r="A473" s="5"/>
      <c r="B473" s="6"/>
      <c r="C473" s="6"/>
      <c r="D473" s="6"/>
      <c r="E473" s="6"/>
      <c r="F473" s="7"/>
      <c r="G473" s="74"/>
      <c r="H473" s="74"/>
      <c r="I473" s="74"/>
      <c r="J473" s="83"/>
      <c r="K473" s="82"/>
      <c r="L473" s="77"/>
      <c r="M473" s="77"/>
      <c r="N473" s="77"/>
      <c r="O473" s="77"/>
      <c r="P473" s="77"/>
      <c r="Q473" s="77"/>
      <c r="R473" s="77"/>
      <c r="S473" s="77"/>
      <c r="T473" s="77"/>
      <c r="U473" s="9"/>
    </row>
    <row r="474" spans="1:23">
      <c r="A474" s="5"/>
      <c r="B474" s="6"/>
      <c r="C474" s="6"/>
      <c r="D474" s="6"/>
      <c r="E474" s="6"/>
      <c r="F474" s="7"/>
      <c r="G474" s="74"/>
      <c r="H474" s="74"/>
      <c r="I474" s="74"/>
      <c r="J474" s="83"/>
      <c r="K474" s="82"/>
      <c r="L474" s="77"/>
      <c r="M474" s="77"/>
      <c r="N474" s="77"/>
      <c r="O474" s="77"/>
      <c r="P474" s="77"/>
      <c r="Q474" s="77"/>
      <c r="R474" s="77"/>
      <c r="S474" s="77"/>
      <c r="T474" s="77"/>
      <c r="U474" s="9"/>
    </row>
    <row r="475" spans="1:23">
      <c r="A475" s="5"/>
      <c r="B475" s="6"/>
      <c r="C475" s="6"/>
      <c r="D475" s="6"/>
      <c r="E475" s="6"/>
      <c r="F475" s="7"/>
      <c r="G475" s="74"/>
      <c r="H475" s="74"/>
      <c r="I475" s="74"/>
      <c r="J475" s="83"/>
      <c r="K475" s="82"/>
      <c r="L475" s="77"/>
      <c r="M475" s="77"/>
      <c r="N475" s="77"/>
      <c r="O475" s="77"/>
      <c r="P475" s="77"/>
      <c r="Q475" s="77"/>
      <c r="R475" s="77"/>
      <c r="S475" s="77"/>
      <c r="T475" s="77"/>
      <c r="U475" s="9"/>
    </row>
    <row r="476" spans="1:23">
      <c r="A476" s="5"/>
      <c r="B476" s="6"/>
      <c r="C476" s="6"/>
      <c r="D476" s="6"/>
      <c r="E476" s="6"/>
      <c r="F476" s="7"/>
      <c r="G476" s="74"/>
      <c r="H476" s="74"/>
      <c r="I476" s="74"/>
      <c r="J476" s="83"/>
      <c r="K476" s="82"/>
      <c r="L476" s="77"/>
      <c r="M476" s="77"/>
      <c r="N476" s="77"/>
      <c r="O476" s="77"/>
      <c r="P476" s="77"/>
      <c r="Q476" s="77"/>
      <c r="R476" s="77"/>
      <c r="S476" s="77"/>
      <c r="T476" s="77"/>
      <c r="U476" s="9"/>
    </row>
    <row r="477" spans="1:23">
      <c r="A477" s="5"/>
      <c r="B477" s="6"/>
      <c r="C477" s="6"/>
      <c r="D477" s="6"/>
      <c r="E477" s="6"/>
      <c r="F477" s="7"/>
      <c r="G477" s="74"/>
      <c r="H477" s="74"/>
      <c r="I477" s="74"/>
      <c r="J477" s="83"/>
      <c r="K477" s="82"/>
      <c r="L477" s="77"/>
      <c r="M477" s="77"/>
      <c r="N477" s="77"/>
      <c r="O477" s="77"/>
      <c r="P477" s="77"/>
      <c r="Q477" s="77"/>
      <c r="R477" s="77"/>
      <c r="S477" s="77"/>
      <c r="T477" s="77"/>
      <c r="U477" s="9"/>
    </row>
    <row r="478" spans="1:23">
      <c r="A478" s="5"/>
      <c r="B478" s="6"/>
      <c r="C478" s="6"/>
      <c r="D478" s="6"/>
      <c r="E478" s="6"/>
      <c r="F478" s="7"/>
      <c r="G478" s="74"/>
      <c r="H478" s="74"/>
      <c r="I478" s="74"/>
      <c r="J478" s="83"/>
      <c r="K478" s="82"/>
      <c r="L478" s="77"/>
      <c r="M478" s="77"/>
      <c r="N478" s="77"/>
      <c r="O478" s="77"/>
      <c r="P478" s="77"/>
      <c r="Q478" s="77"/>
      <c r="R478" s="77"/>
      <c r="S478" s="77"/>
      <c r="T478" s="77"/>
      <c r="U478" s="9"/>
    </row>
    <row r="479" spans="1:23">
      <c r="A479" s="5"/>
      <c r="B479" s="6"/>
      <c r="C479" s="6"/>
      <c r="D479" s="6"/>
      <c r="E479" s="6"/>
      <c r="F479" s="7"/>
      <c r="G479" s="74"/>
      <c r="H479" s="74"/>
      <c r="I479" s="74"/>
      <c r="J479" s="83"/>
      <c r="K479" s="82"/>
      <c r="L479" s="77"/>
      <c r="M479" s="77"/>
      <c r="N479" s="77"/>
      <c r="O479" s="77"/>
      <c r="P479" s="77"/>
      <c r="Q479" s="77"/>
      <c r="R479" s="77"/>
      <c r="S479" s="77"/>
      <c r="T479" s="77"/>
      <c r="U479" s="9"/>
    </row>
    <row r="480" spans="1:23">
      <c r="A480" s="5"/>
      <c r="B480" s="6"/>
      <c r="C480" s="6"/>
      <c r="D480" s="6"/>
      <c r="E480" s="6"/>
      <c r="F480" s="7"/>
      <c r="G480" s="74"/>
      <c r="H480" s="74"/>
      <c r="I480" s="74"/>
      <c r="J480" s="83"/>
      <c r="K480" s="82"/>
      <c r="L480" s="77"/>
      <c r="M480" s="77"/>
      <c r="N480" s="77"/>
      <c r="O480" s="77"/>
      <c r="P480" s="77"/>
      <c r="Q480" s="77"/>
      <c r="R480" s="77"/>
      <c r="S480" s="77"/>
      <c r="T480" s="77"/>
      <c r="U480" s="9"/>
    </row>
    <row r="481" spans="1:21">
      <c r="A481" s="5"/>
      <c r="B481" s="6"/>
      <c r="C481" s="6"/>
      <c r="D481" s="6"/>
      <c r="E481" s="6"/>
      <c r="F481" s="7"/>
      <c r="G481" s="74"/>
      <c r="H481" s="74"/>
      <c r="I481" s="74"/>
      <c r="J481" s="83"/>
      <c r="K481" s="82"/>
      <c r="L481" s="77"/>
      <c r="M481" s="77"/>
      <c r="N481" s="77"/>
      <c r="O481" s="77"/>
      <c r="P481" s="77"/>
      <c r="Q481" s="77"/>
      <c r="R481" s="77"/>
      <c r="S481" s="77"/>
      <c r="T481" s="77"/>
      <c r="U481" s="9"/>
    </row>
    <row r="482" spans="1:21">
      <c r="A482" s="5"/>
      <c r="B482" s="6"/>
      <c r="C482" s="6"/>
      <c r="D482" s="6"/>
      <c r="E482" s="6"/>
      <c r="F482" s="7"/>
      <c r="G482" s="74"/>
      <c r="H482" s="74"/>
      <c r="I482" s="74"/>
      <c r="J482" s="83"/>
      <c r="K482" s="82"/>
      <c r="L482" s="77"/>
      <c r="M482" s="77"/>
      <c r="N482" s="77"/>
      <c r="O482" s="77"/>
      <c r="P482" s="77"/>
      <c r="Q482" s="77"/>
      <c r="R482" s="77"/>
      <c r="S482" s="77"/>
      <c r="T482" s="77"/>
      <c r="U482" s="9"/>
    </row>
    <row r="483" spans="1:21">
      <c r="A483" s="5"/>
      <c r="B483" s="6"/>
      <c r="C483" s="6"/>
      <c r="D483" s="6"/>
      <c r="E483" s="6"/>
      <c r="F483" s="7"/>
      <c r="G483" s="74"/>
      <c r="H483" s="74"/>
      <c r="I483" s="74"/>
      <c r="J483" s="83"/>
      <c r="K483" s="82"/>
      <c r="L483" s="77"/>
      <c r="M483" s="77"/>
      <c r="N483" s="77"/>
      <c r="O483" s="77"/>
      <c r="P483" s="77"/>
      <c r="Q483" s="77"/>
      <c r="R483" s="77"/>
      <c r="S483" s="77"/>
      <c r="T483" s="77"/>
      <c r="U483" s="9"/>
    </row>
    <row r="484" spans="1:21">
      <c r="A484" s="5"/>
      <c r="B484" s="6"/>
      <c r="C484" s="6"/>
      <c r="D484" s="6"/>
      <c r="E484" s="6"/>
      <c r="F484" s="7"/>
      <c r="G484" s="74"/>
      <c r="H484" s="74"/>
      <c r="I484" s="74"/>
      <c r="J484" s="83"/>
      <c r="K484" s="82"/>
      <c r="L484" s="77"/>
      <c r="M484" s="77"/>
      <c r="N484" s="77"/>
      <c r="O484" s="77"/>
      <c r="P484" s="77"/>
      <c r="Q484" s="77"/>
      <c r="R484" s="77"/>
      <c r="S484" s="77"/>
      <c r="T484" s="77"/>
      <c r="U484" s="9"/>
    </row>
    <row r="485" spans="1:21">
      <c r="A485" s="5"/>
      <c r="B485" s="6"/>
      <c r="C485" s="6"/>
      <c r="D485" s="6"/>
      <c r="E485" s="6"/>
      <c r="F485" s="7"/>
      <c r="G485" s="74"/>
      <c r="H485" s="74"/>
      <c r="I485" s="74"/>
      <c r="J485" s="83"/>
      <c r="K485" s="82"/>
      <c r="L485" s="77"/>
      <c r="M485" s="77"/>
      <c r="N485" s="77"/>
      <c r="O485" s="77"/>
      <c r="P485" s="77"/>
      <c r="Q485" s="77"/>
      <c r="R485" s="77"/>
      <c r="S485" s="77"/>
      <c r="T485" s="77"/>
      <c r="U485" s="9"/>
    </row>
    <row r="486" spans="1:21">
      <c r="A486" s="5"/>
      <c r="B486" s="6"/>
      <c r="C486" s="6"/>
      <c r="D486" s="6"/>
      <c r="E486" s="6"/>
      <c r="F486" s="7"/>
      <c r="G486" s="74"/>
      <c r="H486" s="74"/>
      <c r="I486" s="74"/>
      <c r="J486" s="83"/>
      <c r="K486" s="82"/>
      <c r="L486" s="77"/>
      <c r="M486" s="77"/>
      <c r="N486" s="77"/>
      <c r="O486" s="77"/>
      <c r="P486" s="77"/>
      <c r="Q486" s="77"/>
      <c r="R486" s="77"/>
      <c r="S486" s="77"/>
      <c r="T486" s="77"/>
      <c r="U486" s="9"/>
    </row>
    <row r="487" spans="1:21">
      <c r="A487" s="5"/>
      <c r="B487" s="6"/>
      <c r="C487" s="6"/>
      <c r="D487" s="6"/>
      <c r="E487" s="6"/>
      <c r="F487" s="7"/>
      <c r="G487" s="74"/>
      <c r="H487" s="74"/>
      <c r="I487" s="74"/>
      <c r="J487" s="83"/>
      <c r="K487" s="82"/>
      <c r="L487" s="77"/>
      <c r="M487" s="77"/>
      <c r="N487" s="77"/>
      <c r="O487" s="77"/>
      <c r="P487" s="77"/>
      <c r="Q487" s="77"/>
      <c r="R487" s="77"/>
      <c r="S487" s="77"/>
      <c r="T487" s="77"/>
      <c r="U487" s="9"/>
    </row>
    <row r="488" spans="1:21">
      <c r="A488" s="5"/>
      <c r="B488" s="6"/>
      <c r="C488" s="6"/>
      <c r="D488" s="6"/>
      <c r="E488" s="6"/>
      <c r="F488" s="7"/>
      <c r="G488" s="74"/>
      <c r="H488" s="74"/>
      <c r="I488" s="74"/>
      <c r="J488" s="83"/>
      <c r="K488" s="82"/>
      <c r="L488" s="77"/>
      <c r="M488" s="77"/>
      <c r="N488" s="77"/>
      <c r="O488" s="77"/>
      <c r="P488" s="77"/>
      <c r="Q488" s="77"/>
      <c r="R488" s="77"/>
      <c r="S488" s="77"/>
      <c r="T488" s="77"/>
      <c r="U488" s="9"/>
    </row>
    <row r="489" spans="1:21">
      <c r="A489" s="5"/>
      <c r="B489" s="6"/>
      <c r="C489" s="6"/>
      <c r="D489" s="6"/>
      <c r="E489" s="6"/>
      <c r="F489" s="7"/>
      <c r="G489" s="74"/>
      <c r="H489" s="74"/>
      <c r="I489" s="74"/>
      <c r="J489" s="83"/>
      <c r="K489" s="82"/>
      <c r="L489" s="77"/>
      <c r="M489" s="77"/>
      <c r="N489" s="77"/>
      <c r="O489" s="77"/>
      <c r="P489" s="77"/>
      <c r="Q489" s="77"/>
      <c r="R489" s="77"/>
      <c r="S489" s="77"/>
      <c r="T489" s="77"/>
      <c r="U489" s="9"/>
    </row>
    <row r="490" spans="1:21">
      <c r="A490" s="5"/>
      <c r="B490" s="6"/>
      <c r="C490" s="6"/>
      <c r="D490" s="6"/>
      <c r="E490" s="6"/>
      <c r="F490" s="7"/>
      <c r="G490" s="74"/>
      <c r="H490" s="74"/>
      <c r="I490" s="74"/>
      <c r="J490" s="83"/>
      <c r="K490" s="82"/>
      <c r="L490" s="77"/>
      <c r="M490" s="77"/>
      <c r="N490" s="77"/>
      <c r="O490" s="77"/>
      <c r="P490" s="77"/>
      <c r="Q490" s="77"/>
      <c r="R490" s="77"/>
      <c r="S490" s="77"/>
      <c r="T490" s="77"/>
      <c r="U490" s="9"/>
    </row>
    <row r="491" spans="1:21">
      <c r="A491" s="5"/>
      <c r="B491" s="6"/>
      <c r="C491" s="6"/>
      <c r="D491" s="6"/>
      <c r="E491" s="6"/>
      <c r="F491" s="7"/>
      <c r="G491" s="74"/>
      <c r="H491" s="74"/>
      <c r="I491" s="74"/>
      <c r="J491" s="83"/>
      <c r="K491" s="82"/>
      <c r="L491" s="77"/>
      <c r="M491" s="77"/>
      <c r="N491" s="77"/>
      <c r="O491" s="77"/>
      <c r="P491" s="77"/>
      <c r="Q491" s="77"/>
      <c r="R491" s="77"/>
      <c r="S491" s="77"/>
      <c r="T491" s="77"/>
      <c r="U491" s="9"/>
    </row>
    <row r="492" spans="1:21">
      <c r="A492" s="5"/>
      <c r="B492" s="6"/>
      <c r="C492" s="6"/>
      <c r="D492" s="6"/>
      <c r="E492" s="6"/>
      <c r="F492" s="7"/>
      <c r="G492" s="74"/>
      <c r="H492" s="74"/>
      <c r="I492" s="74"/>
      <c r="J492" s="83"/>
      <c r="K492" s="82"/>
      <c r="L492" s="77"/>
      <c r="M492" s="77"/>
      <c r="N492" s="77"/>
      <c r="O492" s="77"/>
      <c r="P492" s="77"/>
      <c r="Q492" s="77"/>
      <c r="R492" s="77"/>
      <c r="S492" s="77"/>
      <c r="T492" s="77"/>
      <c r="U492" s="9"/>
    </row>
    <row r="493" spans="1:21">
      <c r="A493" s="5"/>
      <c r="B493" s="6"/>
      <c r="C493" s="6"/>
      <c r="D493" s="6"/>
      <c r="E493" s="6"/>
      <c r="F493" s="7"/>
      <c r="G493" s="74"/>
      <c r="H493" s="74"/>
      <c r="I493" s="74"/>
      <c r="J493" s="83"/>
      <c r="K493" s="82"/>
      <c r="L493" s="77"/>
      <c r="M493" s="77"/>
      <c r="N493" s="77"/>
      <c r="O493" s="77"/>
      <c r="P493" s="77"/>
      <c r="Q493" s="77"/>
      <c r="R493" s="77"/>
      <c r="S493" s="77"/>
      <c r="T493" s="77"/>
      <c r="U493" s="9"/>
    </row>
    <row r="494" spans="1:21">
      <c r="A494" s="5"/>
      <c r="B494" s="6"/>
      <c r="C494" s="6"/>
      <c r="D494" s="6"/>
      <c r="E494" s="6"/>
      <c r="F494" s="7"/>
      <c r="G494" s="74"/>
      <c r="H494" s="74"/>
      <c r="I494" s="74"/>
      <c r="J494" s="83"/>
      <c r="K494" s="82"/>
      <c r="L494" s="77"/>
      <c r="M494" s="77"/>
      <c r="N494" s="77"/>
      <c r="O494" s="77"/>
      <c r="P494" s="77"/>
      <c r="Q494" s="77"/>
      <c r="R494" s="77"/>
      <c r="S494" s="77"/>
      <c r="T494" s="77"/>
      <c r="U494" s="9"/>
    </row>
    <row r="495" spans="1:21">
      <c r="A495" s="5"/>
      <c r="B495" s="6"/>
      <c r="C495" s="6"/>
      <c r="D495" s="6"/>
      <c r="E495" s="6"/>
      <c r="F495" s="7"/>
      <c r="G495" s="74"/>
      <c r="H495" s="74"/>
      <c r="I495" s="74"/>
      <c r="J495" s="83"/>
      <c r="K495" s="82"/>
      <c r="L495" s="77"/>
      <c r="M495" s="77"/>
      <c r="N495" s="77"/>
      <c r="O495" s="77"/>
      <c r="P495" s="77"/>
      <c r="Q495" s="77"/>
      <c r="R495" s="77"/>
      <c r="S495" s="77"/>
      <c r="T495" s="77"/>
      <c r="U495" s="9"/>
    </row>
    <row r="496" spans="1:21">
      <c r="A496" s="5"/>
      <c r="B496" s="6"/>
      <c r="C496" s="6"/>
      <c r="D496" s="6"/>
      <c r="E496" s="6"/>
      <c r="F496" s="7"/>
      <c r="G496" s="74"/>
      <c r="H496" s="74"/>
      <c r="I496" s="74"/>
      <c r="J496" s="83"/>
      <c r="K496" s="82"/>
      <c r="L496" s="77"/>
      <c r="M496" s="77"/>
      <c r="N496" s="77"/>
      <c r="O496" s="77"/>
      <c r="P496" s="77"/>
      <c r="Q496" s="77"/>
      <c r="R496" s="77"/>
      <c r="S496" s="77"/>
      <c r="T496" s="77"/>
      <c r="U496" s="9"/>
    </row>
    <row r="497" spans="1:21">
      <c r="A497" s="5"/>
      <c r="B497" s="6"/>
      <c r="C497" s="6"/>
      <c r="D497" s="6"/>
      <c r="E497" s="6"/>
      <c r="F497" s="7"/>
      <c r="G497" s="74"/>
      <c r="H497" s="74"/>
      <c r="I497" s="74"/>
      <c r="J497" s="83"/>
      <c r="K497" s="82"/>
      <c r="L497" s="77"/>
      <c r="M497" s="77"/>
      <c r="N497" s="77"/>
      <c r="O497" s="77"/>
      <c r="P497" s="77"/>
      <c r="Q497" s="77"/>
      <c r="R497" s="77"/>
      <c r="S497" s="77"/>
      <c r="T497" s="77"/>
      <c r="U497" s="9"/>
    </row>
    <row r="498" spans="1:21">
      <c r="A498" s="5"/>
      <c r="B498" s="6"/>
      <c r="C498" s="6"/>
      <c r="D498" s="6"/>
      <c r="E498" s="6"/>
      <c r="F498" s="7"/>
      <c r="G498" s="74"/>
      <c r="H498" s="74"/>
      <c r="I498" s="74"/>
      <c r="J498" s="83"/>
      <c r="K498" s="82"/>
      <c r="L498" s="77"/>
      <c r="M498" s="77"/>
      <c r="N498" s="77"/>
      <c r="O498" s="77"/>
      <c r="P498" s="77"/>
      <c r="Q498" s="77"/>
      <c r="R498" s="77"/>
      <c r="S498" s="77"/>
      <c r="T498" s="77"/>
      <c r="U498" s="9"/>
    </row>
    <row r="499" spans="1:21">
      <c r="A499" s="5"/>
      <c r="B499" s="6"/>
      <c r="C499" s="6"/>
      <c r="D499" s="6"/>
      <c r="E499" s="6"/>
      <c r="F499" s="7"/>
      <c r="G499" s="74"/>
      <c r="H499" s="74"/>
      <c r="I499" s="74"/>
      <c r="J499" s="83"/>
      <c r="K499" s="82"/>
      <c r="L499" s="77"/>
      <c r="M499" s="77"/>
      <c r="N499" s="77"/>
      <c r="O499" s="77"/>
      <c r="P499" s="77"/>
      <c r="Q499" s="77"/>
      <c r="R499" s="77"/>
      <c r="S499" s="77"/>
      <c r="T499" s="77"/>
      <c r="U499" s="9"/>
    </row>
    <row r="500" spans="1:21">
      <c r="A500" s="5"/>
      <c r="B500" s="6"/>
      <c r="C500" s="6"/>
      <c r="D500" s="6"/>
      <c r="E500" s="6"/>
      <c r="F500" s="7"/>
      <c r="G500" s="74"/>
      <c r="H500" s="74"/>
      <c r="I500" s="74"/>
      <c r="J500" s="83"/>
      <c r="K500" s="82"/>
      <c r="L500" s="77"/>
      <c r="M500" s="77"/>
      <c r="N500" s="77"/>
      <c r="O500" s="77"/>
      <c r="P500" s="77"/>
      <c r="Q500" s="77"/>
      <c r="R500" s="77"/>
      <c r="S500" s="77"/>
      <c r="T500" s="77"/>
      <c r="U500" s="9"/>
    </row>
    <row r="501" spans="1:21">
      <c r="A501" s="5"/>
      <c r="B501" s="6"/>
      <c r="C501" s="6"/>
      <c r="D501" s="6"/>
      <c r="E501" s="6"/>
      <c r="F501" s="7"/>
      <c r="G501" s="74"/>
      <c r="H501" s="74"/>
      <c r="I501" s="74"/>
      <c r="J501" s="83"/>
      <c r="K501" s="82"/>
      <c r="L501" s="77"/>
      <c r="M501" s="77"/>
      <c r="N501" s="77"/>
      <c r="O501" s="77"/>
      <c r="P501" s="77"/>
      <c r="Q501" s="77"/>
      <c r="R501" s="77"/>
      <c r="S501" s="77"/>
      <c r="T501" s="77"/>
      <c r="U501" s="9"/>
    </row>
    <row r="502" spans="1:21">
      <c r="A502" s="5"/>
      <c r="B502" s="6"/>
      <c r="C502" s="6"/>
      <c r="D502" s="6"/>
      <c r="E502" s="6"/>
      <c r="F502" s="7"/>
      <c r="G502" s="74"/>
      <c r="H502" s="74"/>
      <c r="I502" s="74"/>
      <c r="J502" s="83"/>
      <c r="K502" s="82"/>
      <c r="L502" s="77"/>
      <c r="M502" s="77"/>
      <c r="N502" s="77"/>
      <c r="O502" s="77"/>
      <c r="P502" s="77"/>
      <c r="Q502" s="77"/>
      <c r="R502" s="77"/>
      <c r="S502" s="77"/>
      <c r="T502" s="77"/>
      <c r="U502" s="9"/>
    </row>
    <row r="503" spans="1:21">
      <c r="A503" s="5"/>
      <c r="B503" s="6"/>
      <c r="C503" s="6"/>
      <c r="D503" s="6"/>
      <c r="E503" s="6"/>
      <c r="F503" s="7"/>
      <c r="G503" s="74"/>
      <c r="H503" s="74"/>
      <c r="I503" s="74"/>
      <c r="J503" s="83"/>
      <c r="K503" s="82"/>
      <c r="L503" s="77"/>
      <c r="M503" s="77"/>
      <c r="N503" s="77"/>
      <c r="O503" s="77"/>
      <c r="P503" s="77"/>
      <c r="Q503" s="77"/>
      <c r="R503" s="77"/>
      <c r="S503" s="77"/>
      <c r="T503" s="77"/>
      <c r="U503" s="9"/>
    </row>
    <row r="504" spans="1:21">
      <c r="A504" s="5"/>
      <c r="B504" s="6"/>
      <c r="C504" s="6"/>
      <c r="D504" s="6"/>
      <c r="E504" s="6"/>
      <c r="F504" s="7"/>
      <c r="G504" s="74"/>
      <c r="H504" s="74"/>
      <c r="I504" s="74"/>
      <c r="J504" s="83"/>
      <c r="K504" s="82"/>
      <c r="L504" s="77"/>
      <c r="M504" s="77"/>
      <c r="N504" s="77"/>
      <c r="O504" s="77"/>
      <c r="P504" s="77"/>
      <c r="Q504" s="77"/>
      <c r="R504" s="77"/>
      <c r="S504" s="77"/>
      <c r="T504" s="77"/>
      <c r="U504" s="9"/>
    </row>
    <row r="505" spans="1:21">
      <c r="A505" s="5"/>
      <c r="B505" s="6"/>
      <c r="C505" s="6"/>
      <c r="D505" s="6"/>
      <c r="E505" s="6"/>
      <c r="F505" s="7"/>
      <c r="G505" s="74"/>
      <c r="H505" s="74"/>
      <c r="I505" s="74"/>
      <c r="J505" s="83"/>
      <c r="K505" s="82"/>
      <c r="L505" s="77"/>
      <c r="M505" s="77"/>
      <c r="N505" s="77"/>
      <c r="O505" s="77"/>
      <c r="P505" s="77"/>
      <c r="Q505" s="77"/>
      <c r="R505" s="77"/>
      <c r="S505" s="77"/>
      <c r="T505" s="77"/>
      <c r="U505" s="9"/>
    </row>
    <row r="506" spans="1:21">
      <c r="A506" s="5"/>
      <c r="B506" s="6"/>
      <c r="C506" s="6"/>
      <c r="D506" s="6"/>
      <c r="E506" s="6"/>
      <c r="F506" s="7"/>
      <c r="G506" s="74"/>
      <c r="H506" s="74"/>
      <c r="I506" s="74"/>
      <c r="J506" s="83"/>
      <c r="K506" s="82"/>
      <c r="L506" s="77"/>
      <c r="M506" s="77"/>
      <c r="N506" s="77"/>
      <c r="O506" s="77"/>
      <c r="P506" s="77"/>
      <c r="Q506" s="77"/>
      <c r="R506" s="77"/>
      <c r="S506" s="77"/>
      <c r="T506" s="77"/>
      <c r="U506" s="9"/>
    </row>
    <row r="507" spans="1:21">
      <c r="A507" s="5"/>
      <c r="B507" s="6"/>
      <c r="C507" s="6"/>
      <c r="D507" s="6"/>
      <c r="E507" s="6"/>
      <c r="F507" s="7"/>
      <c r="G507" s="74"/>
      <c r="H507" s="74"/>
      <c r="I507" s="74"/>
      <c r="J507" s="83"/>
      <c r="K507" s="82"/>
      <c r="L507" s="77"/>
      <c r="M507" s="77"/>
      <c r="N507" s="77"/>
      <c r="O507" s="77"/>
      <c r="P507" s="77"/>
      <c r="Q507" s="77"/>
      <c r="R507" s="77"/>
      <c r="S507" s="77"/>
      <c r="T507" s="77"/>
      <c r="U507" s="9"/>
    </row>
    <row r="508" spans="1:21">
      <c r="A508" s="5"/>
      <c r="B508" s="6"/>
      <c r="C508" s="6"/>
      <c r="D508" s="6"/>
      <c r="E508" s="6"/>
      <c r="F508" s="7"/>
      <c r="G508" s="74"/>
      <c r="H508" s="74"/>
      <c r="I508" s="74"/>
      <c r="J508" s="83"/>
      <c r="K508" s="82"/>
      <c r="L508" s="77"/>
      <c r="M508" s="77"/>
      <c r="N508" s="77"/>
      <c r="O508" s="77"/>
      <c r="P508" s="77"/>
      <c r="Q508" s="77"/>
      <c r="R508" s="77"/>
      <c r="S508" s="77"/>
      <c r="T508" s="77"/>
      <c r="U508" s="9"/>
    </row>
    <row r="509" spans="1:21">
      <c r="A509" s="5"/>
      <c r="B509" s="6"/>
      <c r="C509" s="6"/>
      <c r="D509" s="6"/>
      <c r="E509" s="6"/>
      <c r="F509" s="7"/>
      <c r="G509" s="74"/>
      <c r="H509" s="74"/>
      <c r="I509" s="74"/>
      <c r="J509" s="83"/>
      <c r="K509" s="82"/>
      <c r="L509" s="77"/>
      <c r="M509" s="77"/>
      <c r="N509" s="77"/>
      <c r="O509" s="77"/>
      <c r="P509" s="77"/>
      <c r="Q509" s="77"/>
      <c r="R509" s="77"/>
      <c r="S509" s="77"/>
      <c r="T509" s="77"/>
      <c r="U509" s="9"/>
    </row>
    <row r="510" spans="1:21">
      <c r="A510" s="5"/>
      <c r="B510" s="6"/>
      <c r="C510" s="6"/>
      <c r="D510" s="6"/>
      <c r="E510" s="6"/>
      <c r="F510" s="7"/>
      <c r="G510" s="74"/>
      <c r="H510" s="74"/>
      <c r="I510" s="74"/>
      <c r="J510" s="83"/>
      <c r="K510" s="82"/>
      <c r="L510" s="77"/>
      <c r="M510" s="77"/>
      <c r="N510" s="77"/>
      <c r="O510" s="77"/>
      <c r="P510" s="77"/>
      <c r="Q510" s="77"/>
      <c r="R510" s="77"/>
      <c r="S510" s="77"/>
      <c r="T510" s="77"/>
      <c r="U510" s="9"/>
    </row>
    <row r="511" spans="1:21">
      <c r="A511" s="5"/>
      <c r="B511" s="6"/>
      <c r="C511" s="6"/>
      <c r="D511" s="6"/>
      <c r="E511" s="6"/>
      <c r="F511" s="7"/>
      <c r="G511" s="74"/>
      <c r="H511" s="74"/>
      <c r="I511" s="74"/>
      <c r="J511" s="83"/>
      <c r="K511" s="82"/>
      <c r="L511" s="77"/>
      <c r="M511" s="77"/>
      <c r="N511" s="77"/>
      <c r="O511" s="77"/>
      <c r="P511" s="77"/>
      <c r="Q511" s="77"/>
      <c r="R511" s="77"/>
      <c r="S511" s="77"/>
      <c r="T511" s="77"/>
      <c r="U511" s="9"/>
    </row>
    <row r="512" spans="1:21">
      <c r="A512" s="5"/>
      <c r="B512" s="6"/>
      <c r="C512" s="6"/>
      <c r="D512" s="6"/>
      <c r="E512" s="6"/>
      <c r="F512" s="7"/>
      <c r="G512" s="74"/>
      <c r="H512" s="74"/>
      <c r="I512" s="74"/>
      <c r="J512" s="83"/>
      <c r="K512" s="82"/>
      <c r="L512" s="77"/>
      <c r="M512" s="77"/>
      <c r="N512" s="77"/>
      <c r="O512" s="77"/>
      <c r="P512" s="77"/>
      <c r="Q512" s="77"/>
      <c r="R512" s="77"/>
      <c r="S512" s="77"/>
      <c r="T512" s="77"/>
      <c r="U512" s="9"/>
    </row>
    <row r="513" spans="1:21">
      <c r="A513" s="5"/>
      <c r="B513" s="6"/>
      <c r="C513" s="6"/>
      <c r="D513" s="6"/>
      <c r="E513" s="6"/>
      <c r="F513" s="7"/>
      <c r="G513" s="74"/>
      <c r="H513" s="74"/>
      <c r="I513" s="74"/>
      <c r="J513" s="83"/>
      <c r="K513" s="82"/>
      <c r="L513" s="77"/>
      <c r="M513" s="77"/>
      <c r="N513" s="77"/>
      <c r="O513" s="77"/>
      <c r="P513" s="77"/>
      <c r="Q513" s="77"/>
      <c r="R513" s="77"/>
      <c r="S513" s="77"/>
      <c r="T513" s="77"/>
      <c r="U513" s="9"/>
    </row>
    <row r="514" spans="1:21">
      <c r="A514" s="5"/>
      <c r="B514" s="6"/>
      <c r="C514" s="6"/>
      <c r="D514" s="6"/>
      <c r="E514" s="6"/>
      <c r="F514" s="7"/>
      <c r="G514" s="74"/>
      <c r="H514" s="74"/>
      <c r="I514" s="74"/>
      <c r="J514" s="83"/>
      <c r="K514" s="82"/>
      <c r="L514" s="77"/>
      <c r="M514" s="77"/>
      <c r="N514" s="77"/>
      <c r="O514" s="77"/>
      <c r="P514" s="77"/>
      <c r="Q514" s="77"/>
      <c r="R514" s="77"/>
      <c r="S514" s="77"/>
      <c r="T514" s="77"/>
      <c r="U514" s="9"/>
    </row>
    <row r="515" spans="1:21">
      <c r="A515" s="5"/>
      <c r="B515" s="6"/>
      <c r="C515" s="6"/>
      <c r="D515" s="6"/>
      <c r="E515" s="6"/>
      <c r="F515" s="7"/>
      <c r="G515" s="74"/>
      <c r="H515" s="74"/>
      <c r="I515" s="74"/>
      <c r="J515" s="83"/>
      <c r="K515" s="82"/>
      <c r="L515" s="77"/>
      <c r="M515" s="77"/>
      <c r="N515" s="77"/>
      <c r="O515" s="77"/>
      <c r="P515" s="77"/>
      <c r="Q515" s="77"/>
      <c r="R515" s="77"/>
      <c r="S515" s="77"/>
      <c r="T515" s="77"/>
      <c r="U515" s="9"/>
    </row>
    <row r="516" spans="1:21">
      <c r="A516" s="5"/>
      <c r="B516" s="6"/>
      <c r="C516" s="6"/>
      <c r="D516" s="6"/>
      <c r="E516" s="6"/>
      <c r="F516" s="7"/>
      <c r="G516" s="74"/>
      <c r="H516" s="74"/>
      <c r="I516" s="74"/>
      <c r="J516" s="83"/>
      <c r="K516" s="82"/>
      <c r="L516" s="77"/>
      <c r="M516" s="77"/>
      <c r="N516" s="77"/>
      <c r="O516" s="77"/>
      <c r="P516" s="77"/>
      <c r="Q516" s="77"/>
      <c r="R516" s="77"/>
      <c r="S516" s="77"/>
      <c r="T516" s="77"/>
      <c r="U516" s="9"/>
    </row>
    <row r="517" spans="1:21">
      <c r="A517" s="5"/>
      <c r="B517" s="6"/>
      <c r="C517" s="6"/>
      <c r="D517" s="6"/>
      <c r="E517" s="6"/>
      <c r="F517" s="7"/>
      <c r="G517" s="74"/>
      <c r="H517" s="74"/>
      <c r="I517" s="74"/>
      <c r="J517" s="83"/>
      <c r="K517" s="82"/>
      <c r="L517" s="77"/>
      <c r="M517" s="77"/>
      <c r="N517" s="77"/>
      <c r="O517" s="77"/>
      <c r="P517" s="77"/>
      <c r="Q517" s="77"/>
      <c r="R517" s="77"/>
      <c r="S517" s="77"/>
      <c r="T517" s="77"/>
      <c r="U517" s="9"/>
    </row>
    <row r="518" spans="1:21">
      <c r="A518" s="5"/>
      <c r="B518" s="6"/>
      <c r="C518" s="6"/>
      <c r="D518" s="6"/>
      <c r="E518" s="6"/>
      <c r="F518" s="7"/>
      <c r="G518" s="74"/>
      <c r="H518" s="74"/>
      <c r="I518" s="74"/>
      <c r="J518" s="83"/>
      <c r="K518" s="82"/>
      <c r="L518" s="77"/>
      <c r="M518" s="77"/>
      <c r="N518" s="77"/>
      <c r="O518" s="77"/>
      <c r="P518" s="77"/>
      <c r="Q518" s="77"/>
      <c r="R518" s="77"/>
      <c r="S518" s="77"/>
      <c r="T518" s="77"/>
      <c r="U518" s="9"/>
    </row>
    <row r="519" spans="1:21">
      <c r="A519" s="5"/>
      <c r="B519" s="6"/>
      <c r="C519" s="6"/>
      <c r="D519" s="6"/>
      <c r="E519" s="6"/>
      <c r="F519" s="7"/>
      <c r="G519" s="74"/>
      <c r="H519" s="74"/>
      <c r="I519" s="74"/>
      <c r="J519" s="83"/>
      <c r="K519" s="82"/>
      <c r="L519" s="77"/>
      <c r="M519" s="77"/>
      <c r="N519" s="77"/>
      <c r="O519" s="77"/>
      <c r="P519" s="77"/>
      <c r="Q519" s="77"/>
      <c r="R519" s="77"/>
      <c r="S519" s="77"/>
      <c r="T519" s="77"/>
      <c r="U519" s="9"/>
    </row>
    <row r="520" spans="1:21">
      <c r="A520" s="5"/>
      <c r="B520" s="6"/>
      <c r="C520" s="6"/>
      <c r="D520" s="6"/>
      <c r="E520" s="6"/>
      <c r="F520" s="7"/>
      <c r="G520" s="74"/>
      <c r="H520" s="74"/>
      <c r="I520" s="74"/>
      <c r="J520" s="83"/>
      <c r="K520" s="82"/>
      <c r="L520" s="77"/>
      <c r="M520" s="77"/>
      <c r="N520" s="77"/>
      <c r="O520" s="77"/>
      <c r="P520" s="77"/>
      <c r="Q520" s="77"/>
      <c r="R520" s="77"/>
      <c r="S520" s="77"/>
      <c r="T520" s="77"/>
      <c r="U520" s="9"/>
    </row>
    <row r="521" spans="1:21">
      <c r="A521" s="5"/>
      <c r="B521" s="6"/>
      <c r="C521" s="6"/>
      <c r="D521" s="6"/>
      <c r="E521" s="6"/>
      <c r="F521" s="7"/>
      <c r="G521" s="74"/>
      <c r="H521" s="74"/>
      <c r="I521" s="74"/>
      <c r="J521" s="83"/>
      <c r="K521" s="82"/>
      <c r="L521" s="77"/>
      <c r="M521" s="77"/>
      <c r="N521" s="77"/>
      <c r="O521" s="77"/>
      <c r="P521" s="77"/>
      <c r="Q521" s="77"/>
      <c r="R521" s="77"/>
      <c r="S521" s="77"/>
      <c r="T521" s="77"/>
      <c r="U521" s="9"/>
    </row>
    <row r="522" spans="1:21">
      <c r="A522" s="5"/>
      <c r="B522" s="6"/>
      <c r="C522" s="6"/>
      <c r="D522" s="6"/>
      <c r="E522" s="6"/>
      <c r="F522" s="7"/>
      <c r="G522" s="74"/>
      <c r="H522" s="74"/>
      <c r="I522" s="74"/>
      <c r="J522" s="83"/>
      <c r="K522" s="82"/>
      <c r="L522" s="77"/>
      <c r="M522" s="77"/>
      <c r="N522" s="77"/>
      <c r="O522" s="77"/>
      <c r="P522" s="77"/>
      <c r="Q522" s="77"/>
      <c r="R522" s="77"/>
      <c r="S522" s="77"/>
      <c r="T522" s="77"/>
      <c r="U522" s="9"/>
    </row>
    <row r="523" spans="1:21">
      <c r="A523" s="5"/>
      <c r="B523" s="6"/>
      <c r="C523" s="6"/>
      <c r="D523" s="6"/>
      <c r="E523" s="6"/>
      <c r="F523" s="7"/>
      <c r="G523" s="74"/>
      <c r="H523" s="74"/>
      <c r="I523" s="74"/>
      <c r="J523" s="83"/>
      <c r="K523" s="82"/>
      <c r="L523" s="77"/>
      <c r="M523" s="77"/>
      <c r="N523" s="77"/>
      <c r="O523" s="77"/>
      <c r="P523" s="77"/>
      <c r="Q523" s="77"/>
      <c r="R523" s="77"/>
      <c r="S523" s="77"/>
      <c r="T523" s="77"/>
      <c r="U523" s="9"/>
    </row>
    <row r="524" spans="1:21">
      <c r="A524" s="5"/>
      <c r="B524" s="6"/>
      <c r="C524" s="6"/>
      <c r="D524" s="6"/>
      <c r="E524" s="6"/>
      <c r="F524" s="7"/>
      <c r="G524" s="74"/>
      <c r="H524" s="74"/>
      <c r="I524" s="74"/>
      <c r="J524" s="83"/>
      <c r="K524" s="82"/>
      <c r="L524" s="77"/>
      <c r="M524" s="77"/>
      <c r="N524" s="77"/>
      <c r="O524" s="77"/>
      <c r="P524" s="77"/>
      <c r="Q524" s="77"/>
      <c r="R524" s="77"/>
      <c r="S524" s="77"/>
      <c r="T524" s="77"/>
      <c r="U524" s="9"/>
    </row>
    <row r="525" spans="1:21">
      <c r="A525" s="5"/>
      <c r="B525" s="6"/>
      <c r="C525" s="6"/>
      <c r="D525" s="6"/>
      <c r="E525" s="6"/>
      <c r="F525" s="7"/>
      <c r="G525" s="74"/>
      <c r="H525" s="74"/>
      <c r="I525" s="74"/>
      <c r="J525" s="83"/>
      <c r="K525" s="82"/>
      <c r="L525" s="77"/>
      <c r="M525" s="77"/>
      <c r="N525" s="77"/>
      <c r="O525" s="77"/>
      <c r="P525" s="77"/>
      <c r="Q525" s="77"/>
      <c r="R525" s="77"/>
      <c r="S525" s="77"/>
      <c r="T525" s="77"/>
      <c r="U525" s="9"/>
    </row>
    <row r="526" spans="1:21">
      <c r="A526" s="5"/>
      <c r="B526" s="6"/>
      <c r="C526" s="6"/>
      <c r="D526" s="6"/>
      <c r="E526" s="6"/>
      <c r="F526" s="7"/>
      <c r="G526" s="74"/>
      <c r="H526" s="74"/>
      <c r="I526" s="74"/>
      <c r="J526" s="83"/>
      <c r="K526" s="82"/>
      <c r="L526" s="77"/>
      <c r="M526" s="77"/>
      <c r="N526" s="77"/>
      <c r="O526" s="77"/>
      <c r="P526" s="77"/>
      <c r="Q526" s="77"/>
      <c r="R526" s="77"/>
      <c r="S526" s="77"/>
      <c r="T526" s="77"/>
      <c r="U526" s="9"/>
    </row>
    <row r="527" spans="1:21">
      <c r="A527" s="5"/>
      <c r="B527" s="6"/>
      <c r="C527" s="6"/>
      <c r="D527" s="6"/>
      <c r="E527" s="6"/>
      <c r="F527" s="7"/>
      <c r="G527" s="74"/>
      <c r="H527" s="74"/>
      <c r="I527" s="74"/>
      <c r="J527" s="83"/>
      <c r="K527" s="82"/>
      <c r="L527" s="77"/>
      <c r="M527" s="77"/>
      <c r="N527" s="77"/>
      <c r="O527" s="77"/>
      <c r="P527" s="77"/>
      <c r="Q527" s="77"/>
      <c r="R527" s="77"/>
      <c r="S527" s="77"/>
      <c r="T527" s="77"/>
      <c r="U527" s="9"/>
    </row>
    <row r="528" spans="1:21">
      <c r="A528" s="5"/>
      <c r="B528" s="6"/>
      <c r="C528" s="6"/>
      <c r="D528" s="6"/>
      <c r="E528" s="6"/>
      <c r="F528" s="7"/>
      <c r="G528" s="74"/>
      <c r="H528" s="74"/>
      <c r="I528" s="74"/>
      <c r="J528" s="83"/>
      <c r="K528" s="82"/>
      <c r="L528" s="77"/>
      <c r="M528" s="77"/>
      <c r="N528" s="77"/>
      <c r="O528" s="77"/>
      <c r="P528" s="77"/>
      <c r="Q528" s="77"/>
      <c r="R528" s="77"/>
      <c r="S528" s="77"/>
      <c r="T528" s="77"/>
      <c r="U528" s="9"/>
    </row>
    <row r="529" spans="1:21">
      <c r="A529" s="5"/>
      <c r="B529" s="6"/>
      <c r="C529" s="6"/>
      <c r="D529" s="6"/>
      <c r="E529" s="6"/>
      <c r="F529" s="7"/>
      <c r="G529" s="74"/>
      <c r="H529" s="74"/>
      <c r="I529" s="74"/>
      <c r="J529" s="83"/>
      <c r="K529" s="82"/>
      <c r="L529" s="77"/>
      <c r="M529" s="77"/>
      <c r="N529" s="77"/>
      <c r="O529" s="77"/>
      <c r="P529" s="77"/>
      <c r="Q529" s="77"/>
      <c r="R529" s="77"/>
      <c r="S529" s="77"/>
      <c r="T529" s="77"/>
      <c r="U529" s="9"/>
    </row>
    <row r="530" spans="1:21">
      <c r="A530" s="5"/>
      <c r="B530" s="6"/>
      <c r="C530" s="6"/>
      <c r="D530" s="6"/>
      <c r="E530" s="6"/>
      <c r="F530" s="7"/>
      <c r="G530" s="74"/>
      <c r="H530" s="74"/>
      <c r="I530" s="74"/>
      <c r="J530" s="83"/>
      <c r="K530" s="82"/>
      <c r="L530" s="77"/>
      <c r="M530" s="77"/>
      <c r="N530" s="77"/>
      <c r="O530" s="77"/>
      <c r="P530" s="77"/>
      <c r="Q530" s="77"/>
      <c r="R530" s="77"/>
      <c r="S530" s="77"/>
      <c r="T530" s="77"/>
      <c r="U530" s="9"/>
    </row>
    <row r="531" spans="1:21">
      <c r="A531" s="5"/>
      <c r="B531" s="6"/>
      <c r="C531" s="6"/>
      <c r="D531" s="6"/>
      <c r="E531" s="6"/>
      <c r="F531" s="7"/>
      <c r="G531" s="74"/>
      <c r="H531" s="74"/>
      <c r="I531" s="74"/>
      <c r="J531" s="83"/>
      <c r="K531" s="82"/>
      <c r="L531" s="77"/>
      <c r="M531" s="77"/>
      <c r="N531" s="77"/>
      <c r="O531" s="77"/>
      <c r="P531" s="77"/>
      <c r="Q531" s="77"/>
      <c r="R531" s="77"/>
      <c r="S531" s="77"/>
      <c r="T531" s="77"/>
      <c r="U531" s="9"/>
    </row>
    <row r="532" spans="1:21">
      <c r="A532" s="5"/>
      <c r="B532" s="6"/>
      <c r="C532" s="6"/>
      <c r="D532" s="6"/>
      <c r="E532" s="6"/>
      <c r="F532" s="7"/>
      <c r="G532" s="74"/>
      <c r="H532" s="74"/>
      <c r="I532" s="74"/>
      <c r="J532" s="83"/>
      <c r="K532" s="82"/>
      <c r="L532" s="77"/>
      <c r="M532" s="77"/>
      <c r="N532" s="77"/>
      <c r="O532" s="77"/>
      <c r="P532" s="77"/>
      <c r="Q532" s="77"/>
      <c r="R532" s="77"/>
      <c r="S532" s="77"/>
      <c r="T532" s="77"/>
      <c r="U532" s="9"/>
    </row>
    <row r="533" spans="1:21">
      <c r="A533" s="5"/>
      <c r="B533" s="6"/>
      <c r="C533" s="6"/>
      <c r="D533" s="6"/>
      <c r="E533" s="6"/>
      <c r="F533" s="7"/>
      <c r="G533" s="74"/>
      <c r="H533" s="74"/>
      <c r="I533" s="74"/>
      <c r="J533" s="83"/>
      <c r="K533" s="82"/>
      <c r="L533" s="77"/>
      <c r="M533" s="77"/>
      <c r="N533" s="77"/>
      <c r="O533" s="77"/>
      <c r="P533" s="77"/>
      <c r="Q533" s="77"/>
      <c r="R533" s="77"/>
      <c r="S533" s="77"/>
      <c r="T533" s="77"/>
      <c r="U533" s="9"/>
    </row>
    <row r="534" spans="1:21">
      <c r="A534" s="5"/>
      <c r="B534" s="6"/>
      <c r="C534" s="6"/>
      <c r="D534" s="6"/>
      <c r="E534" s="6"/>
      <c r="F534" s="7"/>
      <c r="G534" s="74"/>
      <c r="H534" s="74"/>
      <c r="I534" s="74"/>
      <c r="J534" s="83"/>
      <c r="K534" s="82"/>
      <c r="L534" s="77"/>
      <c r="M534" s="77"/>
      <c r="N534" s="77"/>
      <c r="O534" s="77"/>
      <c r="P534" s="77"/>
      <c r="Q534" s="77"/>
      <c r="R534" s="77"/>
      <c r="S534" s="77"/>
      <c r="T534" s="77"/>
      <c r="U534" s="9"/>
    </row>
    <row r="535" spans="1:21">
      <c r="A535" s="5"/>
      <c r="B535" s="6"/>
      <c r="C535" s="6"/>
      <c r="D535" s="6"/>
      <c r="E535" s="6"/>
      <c r="F535" s="7"/>
      <c r="G535" s="74"/>
      <c r="H535" s="74"/>
      <c r="I535" s="74"/>
      <c r="J535" s="83"/>
      <c r="K535" s="82"/>
      <c r="L535" s="77"/>
      <c r="M535" s="77"/>
      <c r="N535" s="77"/>
      <c r="O535" s="77"/>
      <c r="P535" s="77"/>
      <c r="Q535" s="77"/>
      <c r="R535" s="77"/>
      <c r="S535" s="77"/>
      <c r="T535" s="77"/>
      <c r="U535" s="9"/>
    </row>
    <row r="536" spans="1:21">
      <c r="A536" s="5"/>
      <c r="B536" s="6"/>
      <c r="C536" s="6"/>
      <c r="D536" s="6"/>
      <c r="E536" s="6"/>
      <c r="F536" s="7"/>
      <c r="G536" s="74"/>
      <c r="H536" s="74"/>
      <c r="I536" s="74"/>
      <c r="J536" s="83"/>
      <c r="K536" s="82"/>
      <c r="L536" s="77"/>
      <c r="M536" s="77"/>
      <c r="N536" s="77"/>
      <c r="O536" s="77"/>
      <c r="P536" s="77"/>
      <c r="Q536" s="77"/>
      <c r="R536" s="77"/>
      <c r="S536" s="77"/>
      <c r="T536" s="77"/>
      <c r="U536" s="9"/>
    </row>
    <row r="537" spans="1:21">
      <c r="A537" s="5"/>
      <c r="B537" s="6"/>
      <c r="C537" s="6"/>
      <c r="D537" s="6"/>
      <c r="E537" s="6"/>
      <c r="F537" s="7"/>
      <c r="G537" s="74"/>
      <c r="H537" s="74"/>
      <c r="I537" s="74"/>
      <c r="J537" s="83"/>
      <c r="K537" s="82"/>
      <c r="L537" s="77"/>
      <c r="M537" s="77"/>
      <c r="N537" s="77"/>
      <c r="O537" s="77"/>
      <c r="P537" s="77"/>
      <c r="Q537" s="77"/>
      <c r="R537" s="77"/>
      <c r="S537" s="77"/>
      <c r="T537" s="77"/>
      <c r="U537" s="9"/>
    </row>
    <row r="538" spans="1:21">
      <c r="A538" s="5"/>
      <c r="B538" s="6"/>
      <c r="C538" s="6"/>
      <c r="D538" s="6"/>
      <c r="E538" s="6"/>
      <c r="F538" s="7"/>
      <c r="G538" s="74"/>
      <c r="H538" s="74"/>
      <c r="I538" s="74"/>
      <c r="J538" s="83"/>
      <c r="K538" s="82"/>
      <c r="L538" s="77"/>
      <c r="M538" s="77"/>
      <c r="N538" s="77"/>
      <c r="O538" s="77"/>
      <c r="P538" s="77"/>
      <c r="Q538" s="77"/>
      <c r="R538" s="77"/>
      <c r="S538" s="77"/>
      <c r="T538" s="77"/>
      <c r="U538" s="9"/>
    </row>
    <row r="539" spans="1:21">
      <c r="A539" s="5"/>
      <c r="B539" s="6"/>
      <c r="C539" s="6"/>
      <c r="D539" s="6"/>
      <c r="E539" s="6"/>
      <c r="F539" s="7"/>
      <c r="G539" s="74"/>
      <c r="H539" s="74"/>
      <c r="I539" s="74"/>
      <c r="J539" s="83"/>
      <c r="K539" s="82"/>
      <c r="L539" s="77"/>
      <c r="M539" s="77"/>
      <c r="N539" s="77"/>
      <c r="O539" s="77"/>
      <c r="P539" s="77"/>
      <c r="Q539" s="77"/>
      <c r="R539" s="77"/>
      <c r="S539" s="77"/>
      <c r="T539" s="77"/>
      <c r="U539" s="9"/>
    </row>
    <row r="540" spans="1:21">
      <c r="A540" s="5"/>
      <c r="B540" s="6"/>
      <c r="C540" s="6"/>
      <c r="D540" s="6"/>
      <c r="E540" s="6"/>
      <c r="F540" s="7"/>
      <c r="G540" s="74"/>
      <c r="H540" s="74"/>
      <c r="I540" s="74"/>
      <c r="J540" s="83"/>
      <c r="K540" s="82"/>
      <c r="L540" s="77"/>
      <c r="M540" s="77"/>
      <c r="N540" s="77"/>
      <c r="O540" s="77"/>
      <c r="P540" s="77"/>
      <c r="Q540" s="77"/>
      <c r="R540" s="77"/>
      <c r="S540" s="77"/>
      <c r="T540" s="77"/>
      <c r="U540" s="9"/>
    </row>
    <row r="541" spans="1:21">
      <c r="A541" s="5"/>
      <c r="B541" s="6"/>
      <c r="C541" s="6"/>
      <c r="D541" s="6"/>
      <c r="E541" s="6"/>
      <c r="F541" s="7"/>
      <c r="G541" s="74"/>
      <c r="H541" s="74"/>
      <c r="I541" s="74"/>
      <c r="J541" s="83"/>
      <c r="K541" s="82"/>
      <c r="L541" s="77"/>
      <c r="M541" s="77"/>
      <c r="N541" s="77"/>
      <c r="O541" s="77"/>
      <c r="P541" s="77"/>
      <c r="Q541" s="77"/>
      <c r="R541" s="77"/>
      <c r="S541" s="77"/>
      <c r="T541" s="77"/>
      <c r="U541" s="9"/>
    </row>
    <row r="542" spans="1:21">
      <c r="A542" s="5"/>
      <c r="B542" s="6"/>
      <c r="C542" s="6"/>
      <c r="D542" s="6"/>
      <c r="E542" s="6"/>
      <c r="F542" s="7"/>
      <c r="G542" s="74"/>
      <c r="H542" s="74"/>
      <c r="I542" s="74"/>
      <c r="J542" s="83"/>
      <c r="K542" s="82"/>
      <c r="L542" s="77"/>
      <c r="M542" s="77"/>
      <c r="N542" s="77"/>
      <c r="O542" s="77"/>
      <c r="P542" s="77"/>
      <c r="Q542" s="77"/>
      <c r="R542" s="77"/>
      <c r="S542" s="77"/>
      <c r="T542" s="77"/>
      <c r="U542" s="9"/>
    </row>
    <row r="543" spans="1:21">
      <c r="A543" s="5"/>
      <c r="B543" s="6"/>
      <c r="C543" s="6"/>
      <c r="D543" s="6"/>
      <c r="E543" s="6"/>
      <c r="F543" s="7"/>
      <c r="G543" s="74"/>
      <c r="H543" s="74"/>
      <c r="I543" s="74"/>
      <c r="J543" s="83"/>
      <c r="K543" s="82"/>
      <c r="L543" s="77"/>
      <c r="M543" s="77"/>
      <c r="N543" s="77"/>
      <c r="O543" s="77"/>
      <c r="P543" s="77"/>
      <c r="Q543" s="77"/>
      <c r="R543" s="77"/>
      <c r="S543" s="77"/>
      <c r="T543" s="77"/>
      <c r="U543" s="9"/>
    </row>
    <row r="544" spans="1:21">
      <c r="A544" s="5"/>
      <c r="B544" s="6"/>
      <c r="C544" s="6"/>
      <c r="D544" s="6"/>
      <c r="E544" s="6"/>
      <c r="F544" s="7"/>
      <c r="G544" s="74"/>
      <c r="H544" s="74"/>
      <c r="I544" s="74"/>
      <c r="J544" s="83"/>
      <c r="K544" s="82"/>
      <c r="L544" s="77"/>
      <c r="M544" s="77"/>
      <c r="N544" s="77"/>
      <c r="O544" s="77"/>
      <c r="P544" s="77"/>
      <c r="Q544" s="77"/>
      <c r="R544" s="77"/>
      <c r="S544" s="77"/>
      <c r="T544" s="77"/>
      <c r="U544" s="9"/>
    </row>
    <row r="545" spans="1:21">
      <c r="A545" s="5"/>
      <c r="B545" s="6"/>
      <c r="C545" s="6"/>
      <c r="D545" s="6"/>
      <c r="E545" s="6"/>
      <c r="F545" s="7"/>
      <c r="G545" s="74"/>
      <c r="H545" s="74"/>
      <c r="I545" s="74"/>
      <c r="J545" s="83"/>
      <c r="K545" s="82"/>
      <c r="L545" s="77"/>
      <c r="M545" s="77"/>
      <c r="N545" s="77"/>
      <c r="O545" s="77"/>
      <c r="P545" s="77"/>
      <c r="Q545" s="77"/>
      <c r="R545" s="77"/>
      <c r="S545" s="77"/>
      <c r="T545" s="77"/>
      <c r="U545" s="9"/>
    </row>
    <row r="546" spans="1:21">
      <c r="A546" s="5"/>
      <c r="B546" s="6"/>
      <c r="C546" s="6"/>
      <c r="D546" s="6"/>
      <c r="E546" s="6"/>
      <c r="F546" s="7"/>
      <c r="G546" s="74"/>
      <c r="H546" s="74"/>
      <c r="I546" s="74"/>
      <c r="J546" s="83"/>
      <c r="K546" s="82"/>
      <c r="L546" s="77"/>
      <c r="M546" s="77"/>
      <c r="N546" s="77"/>
      <c r="O546" s="77"/>
      <c r="P546" s="77"/>
      <c r="Q546" s="77"/>
      <c r="R546" s="77"/>
      <c r="S546" s="77"/>
      <c r="T546" s="77"/>
      <c r="U546" s="9"/>
    </row>
    <row r="547" spans="1:21">
      <c r="A547" s="5"/>
      <c r="B547" s="6"/>
      <c r="C547" s="6"/>
      <c r="D547" s="6"/>
      <c r="E547" s="6"/>
      <c r="F547" s="7"/>
      <c r="G547" s="74"/>
      <c r="H547" s="74"/>
      <c r="I547" s="74"/>
      <c r="J547" s="83"/>
      <c r="K547" s="82"/>
      <c r="L547" s="77"/>
      <c r="M547" s="77"/>
      <c r="N547" s="77"/>
      <c r="O547" s="77"/>
      <c r="P547" s="77"/>
      <c r="Q547" s="77"/>
      <c r="R547" s="77"/>
      <c r="S547" s="77"/>
      <c r="T547" s="77"/>
      <c r="U547" s="9"/>
    </row>
    <row r="548" spans="1:21">
      <c r="A548" s="5"/>
      <c r="B548" s="6"/>
      <c r="C548" s="6"/>
      <c r="D548" s="6"/>
      <c r="E548" s="6"/>
      <c r="F548" s="7"/>
      <c r="G548" s="74"/>
      <c r="H548" s="74"/>
      <c r="I548" s="74"/>
      <c r="J548" s="83"/>
      <c r="K548" s="82"/>
      <c r="L548" s="77"/>
      <c r="M548" s="77"/>
      <c r="N548" s="77"/>
      <c r="O548" s="77"/>
      <c r="P548" s="77"/>
      <c r="Q548" s="77"/>
      <c r="R548" s="77"/>
      <c r="S548" s="77"/>
      <c r="T548" s="77"/>
      <c r="U548" s="9"/>
    </row>
    <row r="549" spans="1:21">
      <c r="A549" s="5"/>
      <c r="B549" s="6"/>
      <c r="C549" s="6"/>
      <c r="D549" s="6"/>
      <c r="E549" s="6"/>
      <c r="F549" s="7"/>
      <c r="G549" s="74"/>
      <c r="H549" s="74"/>
      <c r="I549" s="74"/>
      <c r="J549" s="83"/>
      <c r="K549" s="82"/>
      <c r="L549" s="77"/>
      <c r="M549" s="77"/>
      <c r="N549" s="77"/>
      <c r="O549" s="77"/>
      <c r="P549" s="77"/>
      <c r="Q549" s="77"/>
      <c r="R549" s="77"/>
      <c r="S549" s="77"/>
      <c r="T549" s="77"/>
      <c r="U549" s="9"/>
    </row>
    <row r="550" spans="1:21">
      <c r="A550" s="5"/>
      <c r="B550" s="6"/>
      <c r="C550" s="6"/>
      <c r="D550" s="6"/>
      <c r="E550" s="6"/>
      <c r="F550" s="7"/>
      <c r="G550" s="74"/>
      <c r="H550" s="74"/>
      <c r="I550" s="74"/>
      <c r="J550" s="83"/>
      <c r="K550" s="82"/>
      <c r="L550" s="77"/>
      <c r="M550" s="77"/>
      <c r="N550" s="77"/>
      <c r="O550" s="77"/>
      <c r="P550" s="77"/>
      <c r="Q550" s="77"/>
      <c r="R550" s="77"/>
      <c r="S550" s="77"/>
      <c r="T550" s="77"/>
      <c r="U550" s="9"/>
    </row>
    <row r="551" spans="1:21">
      <c r="A551" s="5"/>
      <c r="B551" s="6"/>
      <c r="C551" s="6"/>
      <c r="D551" s="6"/>
      <c r="E551" s="6"/>
      <c r="F551" s="7"/>
      <c r="G551" s="74"/>
      <c r="H551" s="74"/>
      <c r="I551" s="74"/>
      <c r="J551" s="83"/>
      <c r="K551" s="82"/>
      <c r="L551" s="77"/>
      <c r="M551" s="77"/>
      <c r="N551" s="77"/>
      <c r="O551" s="77"/>
      <c r="P551" s="77"/>
      <c r="Q551" s="77"/>
      <c r="R551" s="77"/>
      <c r="S551" s="77"/>
      <c r="T551" s="77"/>
      <c r="U551" s="9"/>
    </row>
    <row r="552" spans="1:21">
      <c r="A552" s="5"/>
      <c r="B552" s="6"/>
      <c r="C552" s="6"/>
      <c r="D552" s="6"/>
      <c r="E552" s="6"/>
      <c r="F552" s="7"/>
      <c r="G552" s="74"/>
      <c r="H552" s="74"/>
      <c r="I552" s="74"/>
      <c r="J552" s="83"/>
      <c r="K552" s="82"/>
      <c r="L552" s="77"/>
      <c r="M552" s="77"/>
      <c r="N552" s="77"/>
      <c r="O552" s="77"/>
      <c r="P552" s="77"/>
      <c r="Q552" s="77"/>
      <c r="R552" s="77"/>
      <c r="S552" s="77"/>
      <c r="T552" s="77"/>
      <c r="U552" s="9"/>
    </row>
    <row r="553" spans="1:21">
      <c r="A553" s="5"/>
      <c r="B553" s="6"/>
      <c r="C553" s="6"/>
      <c r="D553" s="6"/>
      <c r="E553" s="6"/>
      <c r="F553" s="7"/>
      <c r="G553" s="74"/>
      <c r="H553" s="74"/>
      <c r="I553" s="74"/>
      <c r="J553" s="83"/>
      <c r="K553" s="82"/>
      <c r="L553" s="77"/>
      <c r="M553" s="77"/>
      <c r="N553" s="77"/>
      <c r="O553" s="77"/>
      <c r="P553" s="77"/>
      <c r="Q553" s="77"/>
      <c r="R553" s="77"/>
      <c r="S553" s="77"/>
      <c r="T553" s="77"/>
      <c r="U553" s="9"/>
    </row>
    <row r="554" spans="1:21">
      <c r="A554" s="5"/>
      <c r="B554" s="6"/>
      <c r="C554" s="6"/>
      <c r="D554" s="6"/>
      <c r="E554" s="6"/>
      <c r="F554" s="7"/>
      <c r="G554" s="74"/>
      <c r="H554" s="74"/>
      <c r="I554" s="74"/>
      <c r="J554" s="83"/>
      <c r="K554" s="82"/>
      <c r="L554" s="77"/>
      <c r="M554" s="77"/>
      <c r="N554" s="77"/>
      <c r="O554" s="77"/>
      <c r="P554" s="77"/>
      <c r="Q554" s="77"/>
      <c r="R554" s="77"/>
      <c r="S554" s="77"/>
      <c r="T554" s="77"/>
      <c r="U554" s="9"/>
    </row>
    <row r="555" spans="1:21">
      <c r="A555" s="5"/>
      <c r="B555" s="6"/>
      <c r="C555" s="6"/>
      <c r="D555" s="6"/>
      <c r="E555" s="6"/>
      <c r="F555" s="7"/>
      <c r="G555" s="74"/>
      <c r="H555" s="74"/>
      <c r="I555" s="74"/>
      <c r="J555" s="83"/>
      <c r="K555" s="82"/>
      <c r="L555" s="77"/>
      <c r="M555" s="77"/>
      <c r="N555" s="77"/>
      <c r="O555" s="77"/>
      <c r="P555" s="77"/>
      <c r="Q555" s="77"/>
      <c r="R555" s="77"/>
      <c r="S555" s="77"/>
      <c r="T555" s="77"/>
      <c r="U555" s="9"/>
    </row>
    <row r="556" spans="1:21">
      <c r="A556" s="5"/>
      <c r="B556" s="6"/>
      <c r="C556" s="6"/>
      <c r="D556" s="6"/>
      <c r="E556" s="6"/>
      <c r="F556" s="7"/>
      <c r="G556" s="74"/>
      <c r="H556" s="74"/>
      <c r="I556" s="74"/>
      <c r="J556" s="83"/>
      <c r="K556" s="82"/>
      <c r="L556" s="77"/>
      <c r="M556" s="77"/>
      <c r="N556" s="77"/>
      <c r="O556" s="77"/>
      <c r="P556" s="77"/>
      <c r="Q556" s="77"/>
      <c r="R556" s="77"/>
      <c r="S556" s="77"/>
      <c r="T556" s="77"/>
      <c r="U556" s="9"/>
    </row>
    <row r="557" spans="1:21">
      <c r="A557" s="5"/>
      <c r="B557" s="6"/>
      <c r="C557" s="6"/>
      <c r="D557" s="6"/>
      <c r="E557" s="6"/>
      <c r="F557" s="7"/>
      <c r="G557" s="74"/>
      <c r="H557" s="74"/>
      <c r="I557" s="74"/>
      <c r="J557" s="83"/>
      <c r="K557" s="82"/>
      <c r="L557" s="77"/>
      <c r="M557" s="77"/>
      <c r="N557" s="77"/>
      <c r="O557" s="77"/>
      <c r="P557" s="77"/>
      <c r="Q557" s="77"/>
      <c r="R557" s="77"/>
      <c r="S557" s="77"/>
      <c r="T557" s="77"/>
      <c r="U557" s="9"/>
    </row>
    <row r="558" spans="1:21">
      <c r="A558" s="5"/>
      <c r="B558" s="6"/>
      <c r="C558" s="6"/>
      <c r="D558" s="6"/>
      <c r="E558" s="6"/>
      <c r="F558" s="7"/>
      <c r="G558" s="74"/>
      <c r="H558" s="74"/>
      <c r="I558" s="74"/>
      <c r="J558" s="83"/>
      <c r="K558" s="82"/>
      <c r="L558" s="77"/>
      <c r="M558" s="77"/>
      <c r="N558" s="77"/>
      <c r="O558" s="77"/>
      <c r="P558" s="77"/>
      <c r="Q558" s="77"/>
      <c r="R558" s="77"/>
      <c r="S558" s="77"/>
      <c r="T558" s="77"/>
      <c r="U558" s="9"/>
    </row>
    <row r="559" spans="1:21">
      <c r="A559" s="5"/>
      <c r="B559" s="6"/>
      <c r="C559" s="6"/>
      <c r="D559" s="6"/>
      <c r="E559" s="6"/>
      <c r="F559" s="7"/>
      <c r="G559" s="74"/>
      <c r="H559" s="74"/>
      <c r="I559" s="74"/>
      <c r="J559" s="83"/>
      <c r="K559" s="82"/>
      <c r="L559" s="77"/>
      <c r="M559" s="77"/>
      <c r="N559" s="77"/>
      <c r="O559" s="77"/>
      <c r="P559" s="77"/>
      <c r="Q559" s="77"/>
      <c r="R559" s="77"/>
      <c r="S559" s="77"/>
      <c r="T559" s="77"/>
      <c r="U559" s="9"/>
    </row>
    <row r="560" spans="1:21">
      <c r="A560" s="5"/>
      <c r="B560" s="6"/>
      <c r="C560" s="6"/>
      <c r="D560" s="6"/>
      <c r="E560" s="6"/>
      <c r="F560" s="7"/>
      <c r="G560" s="74"/>
      <c r="H560" s="74"/>
      <c r="I560" s="74"/>
      <c r="J560" s="83"/>
      <c r="K560" s="82"/>
      <c r="L560" s="77"/>
      <c r="M560" s="77"/>
      <c r="N560" s="77"/>
      <c r="O560" s="77"/>
      <c r="P560" s="77"/>
      <c r="Q560" s="77"/>
      <c r="R560" s="77"/>
      <c r="S560" s="77"/>
      <c r="T560" s="77"/>
      <c r="U560" s="9"/>
    </row>
    <row r="561" spans="1:21">
      <c r="A561" s="5"/>
      <c r="B561" s="6"/>
      <c r="C561" s="6"/>
      <c r="D561" s="6"/>
      <c r="E561" s="6"/>
      <c r="F561" s="7"/>
      <c r="G561" s="74"/>
      <c r="H561" s="74"/>
      <c r="I561" s="74"/>
      <c r="J561" s="83"/>
      <c r="K561" s="82"/>
      <c r="L561" s="77"/>
      <c r="M561" s="77"/>
      <c r="N561" s="77"/>
      <c r="O561" s="77"/>
      <c r="P561" s="77"/>
      <c r="Q561" s="77"/>
      <c r="R561" s="77"/>
      <c r="S561" s="77"/>
      <c r="T561" s="77"/>
      <c r="U561" s="9"/>
    </row>
    <row r="562" spans="1:21">
      <c r="A562" s="5"/>
      <c r="B562" s="6"/>
      <c r="C562" s="6"/>
      <c r="D562" s="6"/>
      <c r="E562" s="6"/>
      <c r="F562" s="7"/>
      <c r="G562" s="74"/>
      <c r="H562" s="74"/>
      <c r="I562" s="74"/>
      <c r="J562" s="83"/>
      <c r="K562" s="82"/>
      <c r="L562" s="77"/>
      <c r="M562" s="77"/>
      <c r="N562" s="77"/>
      <c r="O562" s="77"/>
      <c r="P562" s="77"/>
      <c r="Q562" s="77"/>
      <c r="R562" s="77"/>
      <c r="S562" s="77"/>
      <c r="T562" s="77"/>
      <c r="U562" s="9"/>
    </row>
    <row r="563" spans="1:21">
      <c r="A563" s="5"/>
      <c r="B563" s="6"/>
      <c r="C563" s="6"/>
      <c r="D563" s="6"/>
      <c r="E563" s="6"/>
      <c r="F563" s="7"/>
      <c r="G563" s="74"/>
      <c r="H563" s="74"/>
      <c r="I563" s="74"/>
      <c r="J563" s="83"/>
      <c r="K563" s="82"/>
      <c r="L563" s="77"/>
      <c r="M563" s="77"/>
      <c r="N563" s="77"/>
      <c r="O563" s="77"/>
      <c r="P563" s="77"/>
      <c r="Q563" s="77"/>
      <c r="R563" s="77"/>
      <c r="S563" s="77"/>
      <c r="T563" s="77"/>
      <c r="U563" s="9"/>
    </row>
    <row r="564" spans="1:21">
      <c r="A564" s="5"/>
      <c r="B564" s="6"/>
      <c r="C564" s="6"/>
      <c r="D564" s="6"/>
      <c r="E564" s="6"/>
      <c r="F564" s="7"/>
      <c r="G564" s="74"/>
      <c r="H564" s="74"/>
      <c r="I564" s="74"/>
      <c r="J564" s="83"/>
      <c r="K564" s="82"/>
      <c r="L564" s="77"/>
      <c r="M564" s="77"/>
      <c r="N564" s="77"/>
      <c r="O564" s="77"/>
      <c r="P564" s="77"/>
      <c r="Q564" s="77"/>
      <c r="R564" s="77"/>
      <c r="S564" s="77"/>
      <c r="T564" s="77"/>
      <c r="U564" s="9"/>
    </row>
    <row r="565" spans="1:21">
      <c r="A565" s="5"/>
      <c r="B565" s="6"/>
      <c r="C565" s="6"/>
      <c r="D565" s="6"/>
      <c r="E565" s="6"/>
      <c r="F565" s="7"/>
      <c r="G565" s="74"/>
      <c r="H565" s="74"/>
      <c r="I565" s="74"/>
      <c r="J565" s="83"/>
      <c r="K565" s="82"/>
      <c r="L565" s="77"/>
      <c r="M565" s="77"/>
      <c r="N565" s="77"/>
      <c r="O565" s="77"/>
      <c r="P565" s="77"/>
      <c r="Q565" s="77"/>
      <c r="R565" s="77"/>
      <c r="S565" s="77"/>
      <c r="T565" s="77"/>
      <c r="U565" s="9"/>
    </row>
    <row r="566" spans="1:21">
      <c r="A566" s="5"/>
      <c r="B566" s="6"/>
      <c r="C566" s="6"/>
      <c r="D566" s="6"/>
      <c r="E566" s="6"/>
      <c r="F566" s="7"/>
      <c r="G566" s="74"/>
      <c r="H566" s="74"/>
      <c r="I566" s="74"/>
      <c r="J566" s="83"/>
      <c r="K566" s="82"/>
      <c r="L566" s="77"/>
      <c r="M566" s="77"/>
      <c r="N566" s="77"/>
      <c r="O566" s="77"/>
      <c r="P566" s="77"/>
      <c r="Q566" s="77"/>
      <c r="R566" s="77"/>
      <c r="S566" s="77"/>
      <c r="T566" s="77"/>
      <c r="U566" s="9"/>
    </row>
    <row r="567" spans="1:21">
      <c r="A567" s="5"/>
      <c r="B567" s="6"/>
      <c r="C567" s="6"/>
      <c r="D567" s="6"/>
      <c r="E567" s="6"/>
      <c r="F567" s="7"/>
      <c r="G567" s="74"/>
      <c r="H567" s="74"/>
      <c r="I567" s="74"/>
      <c r="J567" s="83"/>
      <c r="K567" s="82"/>
      <c r="L567" s="77"/>
      <c r="M567" s="77"/>
      <c r="N567" s="77"/>
      <c r="O567" s="77"/>
      <c r="P567" s="77"/>
      <c r="Q567" s="77"/>
      <c r="R567" s="77"/>
      <c r="S567" s="77"/>
      <c r="T567" s="77"/>
      <c r="U567" s="9"/>
    </row>
    <row r="568" spans="1:21">
      <c r="A568" s="5"/>
      <c r="B568" s="6"/>
      <c r="C568" s="6"/>
      <c r="D568" s="6"/>
      <c r="E568" s="6"/>
      <c r="F568" s="7"/>
      <c r="G568" s="74"/>
      <c r="H568" s="74"/>
      <c r="I568" s="74"/>
      <c r="J568" s="83"/>
      <c r="K568" s="82"/>
      <c r="L568" s="77"/>
      <c r="M568" s="77"/>
      <c r="N568" s="77"/>
      <c r="O568" s="77"/>
      <c r="P568" s="77"/>
      <c r="Q568" s="77"/>
      <c r="R568" s="77"/>
      <c r="S568" s="77"/>
      <c r="T568" s="77"/>
      <c r="U568" s="9"/>
    </row>
    <row r="569" spans="1:21">
      <c r="A569" s="5"/>
      <c r="B569" s="6"/>
      <c r="C569" s="6"/>
      <c r="D569" s="6"/>
      <c r="E569" s="6"/>
      <c r="F569" s="7"/>
      <c r="G569" s="74"/>
      <c r="H569" s="74"/>
      <c r="I569" s="74"/>
      <c r="J569" s="83"/>
      <c r="K569" s="82"/>
      <c r="L569" s="77"/>
      <c r="M569" s="77"/>
      <c r="N569" s="77"/>
      <c r="O569" s="77"/>
      <c r="P569" s="77"/>
      <c r="Q569" s="77"/>
      <c r="R569" s="77"/>
      <c r="S569" s="77"/>
      <c r="T569" s="77"/>
      <c r="U569" s="9"/>
    </row>
    <row r="570" spans="1:21">
      <c r="A570" s="5"/>
      <c r="B570" s="6"/>
      <c r="C570" s="6"/>
      <c r="D570" s="6"/>
      <c r="E570" s="6"/>
      <c r="F570" s="7"/>
      <c r="G570" s="74"/>
      <c r="H570" s="74"/>
      <c r="I570" s="74"/>
      <c r="J570" s="83"/>
      <c r="K570" s="82"/>
      <c r="L570" s="77"/>
      <c r="M570" s="77"/>
      <c r="N570" s="77"/>
      <c r="O570" s="77"/>
      <c r="P570" s="77"/>
      <c r="Q570" s="77"/>
      <c r="R570" s="77"/>
      <c r="S570" s="77"/>
      <c r="T570" s="77"/>
      <c r="U570" s="9"/>
    </row>
    <row r="571" spans="1:21">
      <c r="A571" s="5"/>
      <c r="B571" s="6"/>
      <c r="C571" s="6"/>
      <c r="D571" s="6"/>
      <c r="E571" s="6"/>
      <c r="F571" s="7"/>
      <c r="G571" s="74"/>
      <c r="H571" s="74"/>
      <c r="I571" s="74"/>
      <c r="J571" s="83"/>
      <c r="K571" s="82"/>
      <c r="L571" s="77"/>
      <c r="M571" s="77"/>
      <c r="N571" s="77"/>
      <c r="O571" s="77"/>
      <c r="P571" s="77"/>
      <c r="Q571" s="77"/>
      <c r="R571" s="77"/>
      <c r="S571" s="77"/>
      <c r="T571" s="77"/>
      <c r="U571" s="9"/>
    </row>
    <row r="572" spans="1:21">
      <c r="A572" s="5"/>
      <c r="B572" s="6"/>
      <c r="C572" s="6"/>
      <c r="D572" s="6"/>
      <c r="E572" s="6"/>
      <c r="F572" s="7"/>
      <c r="G572" s="74"/>
      <c r="H572" s="74"/>
      <c r="I572" s="74"/>
      <c r="J572" s="83"/>
      <c r="K572" s="82"/>
      <c r="L572" s="77"/>
      <c r="M572" s="77"/>
      <c r="N572" s="77"/>
      <c r="O572" s="77"/>
      <c r="P572" s="77"/>
      <c r="Q572" s="77"/>
      <c r="R572" s="77"/>
      <c r="S572" s="77"/>
      <c r="T572" s="77"/>
      <c r="U572" s="9"/>
    </row>
    <row r="573" spans="1:21">
      <c r="A573" s="5"/>
      <c r="B573" s="6"/>
      <c r="C573" s="6"/>
      <c r="D573" s="6"/>
      <c r="E573" s="6"/>
      <c r="F573" s="7"/>
      <c r="G573" s="74"/>
      <c r="H573" s="74"/>
      <c r="I573" s="74"/>
      <c r="J573" s="83"/>
      <c r="K573" s="82"/>
      <c r="L573" s="77"/>
      <c r="M573" s="77"/>
      <c r="N573" s="77"/>
      <c r="O573" s="77"/>
      <c r="P573" s="77"/>
      <c r="Q573" s="77"/>
      <c r="R573" s="77"/>
      <c r="S573" s="77"/>
      <c r="T573" s="77"/>
      <c r="U573" s="9"/>
    </row>
    <row r="574" spans="1:21">
      <c r="A574" s="5"/>
      <c r="B574" s="6"/>
      <c r="C574" s="6"/>
      <c r="D574" s="6"/>
      <c r="E574" s="6"/>
      <c r="F574" s="7"/>
      <c r="G574" s="74"/>
      <c r="H574" s="74"/>
      <c r="I574" s="74"/>
      <c r="J574" s="83"/>
      <c r="K574" s="82"/>
      <c r="L574" s="77"/>
      <c r="M574" s="77"/>
      <c r="N574" s="77"/>
      <c r="O574" s="77"/>
      <c r="P574" s="77"/>
      <c r="Q574" s="77"/>
      <c r="R574" s="77"/>
      <c r="S574" s="77"/>
      <c r="T574" s="77"/>
      <c r="U574" s="9"/>
    </row>
    <row r="575" spans="1:21">
      <c r="A575" s="5"/>
      <c r="B575" s="6"/>
      <c r="C575" s="6"/>
      <c r="D575" s="6"/>
      <c r="E575" s="6"/>
      <c r="F575" s="7"/>
      <c r="G575" s="74"/>
      <c r="H575" s="74"/>
      <c r="I575" s="74"/>
      <c r="J575" s="83"/>
      <c r="K575" s="82"/>
      <c r="L575" s="77"/>
      <c r="M575" s="77"/>
      <c r="N575" s="77"/>
      <c r="O575" s="77"/>
      <c r="P575" s="77"/>
      <c r="Q575" s="77"/>
      <c r="R575" s="77"/>
      <c r="S575" s="77"/>
      <c r="T575" s="77"/>
      <c r="U575" s="9"/>
    </row>
    <row r="576" spans="1:21">
      <c r="A576" s="5"/>
      <c r="B576" s="6"/>
      <c r="C576" s="6"/>
      <c r="D576" s="6"/>
      <c r="E576" s="6"/>
      <c r="F576" s="7"/>
      <c r="G576" s="74"/>
      <c r="H576" s="74"/>
      <c r="I576" s="74"/>
      <c r="J576" s="83"/>
      <c r="K576" s="82"/>
      <c r="L576" s="77"/>
      <c r="M576" s="77"/>
      <c r="N576" s="77"/>
      <c r="O576" s="77"/>
      <c r="P576" s="77"/>
      <c r="Q576" s="77"/>
      <c r="R576" s="77"/>
      <c r="S576" s="77"/>
      <c r="T576" s="77"/>
      <c r="U576" s="9"/>
    </row>
    <row r="577" spans="1:21">
      <c r="A577" s="5"/>
      <c r="B577" s="6"/>
      <c r="C577" s="6"/>
      <c r="D577" s="6"/>
      <c r="E577" s="6"/>
      <c r="F577" s="7"/>
      <c r="G577" s="74"/>
      <c r="H577" s="74"/>
      <c r="I577" s="74"/>
      <c r="J577" s="83"/>
      <c r="K577" s="82"/>
      <c r="L577" s="77"/>
      <c r="M577" s="77"/>
      <c r="N577" s="77"/>
      <c r="O577" s="77"/>
      <c r="P577" s="77"/>
      <c r="Q577" s="77"/>
      <c r="R577" s="77"/>
      <c r="S577" s="77"/>
      <c r="T577" s="77"/>
      <c r="U577" s="9"/>
    </row>
    <row r="578" spans="1:21">
      <c r="A578" s="5"/>
      <c r="B578" s="6"/>
      <c r="C578" s="6"/>
      <c r="D578" s="6"/>
      <c r="E578" s="6"/>
      <c r="F578" s="7"/>
      <c r="G578" s="74"/>
      <c r="H578" s="74"/>
      <c r="I578" s="74"/>
      <c r="J578" s="83"/>
      <c r="K578" s="82"/>
      <c r="L578" s="77"/>
      <c r="M578" s="77"/>
      <c r="N578" s="77"/>
      <c r="O578" s="77"/>
      <c r="P578" s="77"/>
      <c r="Q578" s="77"/>
      <c r="R578" s="77"/>
      <c r="S578" s="77"/>
      <c r="T578" s="77"/>
      <c r="U578" s="9"/>
    </row>
    <row r="579" spans="1:21">
      <c r="A579" s="5"/>
      <c r="B579" s="6"/>
      <c r="C579" s="6"/>
      <c r="D579" s="6"/>
      <c r="E579" s="6"/>
      <c r="F579" s="7"/>
      <c r="G579" s="74"/>
      <c r="H579" s="74"/>
      <c r="I579" s="74"/>
      <c r="J579" s="83"/>
      <c r="K579" s="82"/>
      <c r="L579" s="77"/>
      <c r="M579" s="77"/>
      <c r="N579" s="77"/>
      <c r="O579" s="77"/>
      <c r="P579" s="77"/>
      <c r="Q579" s="77"/>
      <c r="R579" s="77"/>
      <c r="S579" s="77"/>
      <c r="T579" s="77"/>
      <c r="U579" s="9"/>
    </row>
    <row r="580" spans="1:21">
      <c r="A580" s="5"/>
      <c r="B580" s="6"/>
      <c r="C580" s="6"/>
      <c r="D580" s="6"/>
      <c r="E580" s="6"/>
      <c r="F580" s="7"/>
      <c r="G580" s="74"/>
      <c r="H580" s="74"/>
      <c r="I580" s="74"/>
      <c r="J580" s="83"/>
      <c r="K580" s="82"/>
      <c r="L580" s="77"/>
      <c r="M580" s="77"/>
      <c r="N580" s="77"/>
      <c r="O580" s="77"/>
      <c r="P580" s="77"/>
      <c r="Q580" s="77"/>
      <c r="R580" s="77"/>
      <c r="S580" s="77"/>
      <c r="T580" s="77"/>
      <c r="U580" s="9"/>
    </row>
    <row r="581" spans="1:21">
      <c r="A581" s="5"/>
      <c r="B581" s="6"/>
      <c r="C581" s="6"/>
      <c r="D581" s="6"/>
      <c r="E581" s="6"/>
      <c r="F581" s="7"/>
      <c r="G581" s="74"/>
      <c r="H581" s="74"/>
      <c r="I581" s="74"/>
      <c r="J581" s="83"/>
      <c r="K581" s="82"/>
      <c r="L581" s="77"/>
      <c r="M581" s="77"/>
      <c r="N581" s="77"/>
      <c r="O581" s="77"/>
      <c r="P581" s="77"/>
      <c r="Q581" s="77"/>
      <c r="R581" s="77"/>
      <c r="S581" s="77"/>
      <c r="T581" s="77"/>
      <c r="U581" s="9"/>
    </row>
    <row r="582" spans="1:21">
      <c r="A582" s="5"/>
      <c r="B582" s="6"/>
      <c r="C582" s="6"/>
      <c r="D582" s="6"/>
      <c r="E582" s="6"/>
      <c r="F582" s="7"/>
      <c r="G582" s="74"/>
      <c r="H582" s="74"/>
      <c r="I582" s="74"/>
      <c r="J582" s="83"/>
      <c r="K582" s="82"/>
      <c r="L582" s="77"/>
      <c r="M582" s="77"/>
      <c r="N582" s="77"/>
      <c r="O582" s="77"/>
      <c r="P582" s="77"/>
      <c r="Q582" s="77"/>
      <c r="R582" s="77"/>
      <c r="S582" s="77"/>
      <c r="T582" s="77"/>
      <c r="U582" s="9"/>
    </row>
    <row r="1048563" spans="3:3">
      <c r="C1048563" s="6"/>
    </row>
  </sheetData>
  <autoFilter ref="A1:X358" xr:uid="{00000000-0001-0000-0000-000000000000}">
    <filterColumn colId="2">
      <filters>
        <filter val="Fernando Zarate"/>
      </filters>
    </filterColumn>
    <filterColumn colId="19">
      <filters>
        <filter val="EN PROCESO"/>
      </filters>
    </filterColumn>
    <filterColumn colId="20">
      <filters blank="1">
        <filter val="EN PROCESO"/>
        <filter val="ENTREGADO"/>
      </filters>
    </filterColumn>
  </autoFilter>
  <customSheetViews>
    <customSheetView guid="{959EBD5C-A1AB-421F-8F64-C57471E7B964}" filter="1" showAutoFilter="1">
      <autoFilter ref="A1:V200" xr:uid="{DE4A52DC-59A9-49BB-8B2C-9F27E3E656BE}">
        <filterColumn colId="2">
          <filters blank="1">
            <filter val="Misael Hernandez"/>
            <filter val="Misael Hernández"/>
          </filters>
        </filterColumn>
        <filterColumn colId="17">
          <filters blank="1">
            <filter val="EN PROCESO"/>
            <filter val="N/A"/>
            <filter val="PROCESO DE CANCELACION"/>
          </filters>
        </filterColumn>
      </autoFilter>
    </customSheetView>
  </customSheetViews>
  <conditionalFormatting sqref="A151:A155">
    <cfRule type="expression" dxfId="79" priority="1313">
      <formula>COUNTIF(A151:A1120,A151)&gt;1</formula>
    </cfRule>
  </conditionalFormatting>
  <conditionalFormatting sqref="A168:A186">
    <cfRule type="expression" dxfId="78" priority="1314">
      <formula>COUNTIF(A168:A1146,A168)&gt;1</formula>
    </cfRule>
  </conditionalFormatting>
  <conditionalFormatting sqref="A187:A212">
    <cfRule type="expression" dxfId="77" priority="1242">
      <formula>COUNTIF(A187:A1166,A187)&gt;1</formula>
    </cfRule>
  </conditionalFormatting>
  <conditionalFormatting sqref="A213:A220">
    <cfRule type="expression" dxfId="76" priority="1171">
      <formula>COUNTIF(A213:A1193,A213)&gt;1</formula>
    </cfRule>
  </conditionalFormatting>
  <conditionalFormatting sqref="A221:A229">
    <cfRule type="expression" dxfId="75" priority="1102">
      <formula>COUNTIF(A221:A1202,A221)&gt;1</formula>
    </cfRule>
  </conditionalFormatting>
  <conditionalFormatting sqref="A258:A272">
    <cfRule type="expression" dxfId="74" priority="1310">
      <formula>COUNTIF(A258:A1248,A258)&gt;1</formula>
    </cfRule>
  </conditionalFormatting>
  <conditionalFormatting sqref="A273:A357">
    <cfRule type="expression" dxfId="73" priority="1172">
      <formula>COUNTIF(A273:A1264,A273)&gt;1</formula>
    </cfRule>
  </conditionalFormatting>
  <conditionalFormatting sqref="A358:A969">
    <cfRule type="expression" dxfId="72" priority="34">
      <formula>COUNTIF(A358:A1350,A358)&gt;1</formula>
    </cfRule>
  </conditionalFormatting>
  <conditionalFormatting sqref="G127:H129">
    <cfRule type="containsBlanks" dxfId="71" priority="624">
      <formula>LEN(TRIM(J127))=0</formula>
    </cfRule>
  </conditionalFormatting>
  <conditionalFormatting sqref="I127:I129">
    <cfRule type="containsBlanks" dxfId="70" priority="623">
      <formula>LEN(TRIM(K127))=0</formula>
    </cfRule>
  </conditionalFormatting>
  <conditionalFormatting sqref="J2:J221 K1:K221 J222:K582">
    <cfRule type="containsBlanks" dxfId="69" priority="30">
      <formula>LEN(TRIM(K1))=0</formula>
    </cfRule>
  </conditionalFormatting>
  <conditionalFormatting sqref="G127:I129 J2:J582">
    <cfRule type="cellIs" dxfId="68" priority="27" operator="greaterThanOrEqual">
      <formula>60</formula>
    </cfRule>
    <cfRule type="cellIs" dxfId="67" priority="28" operator="between">
      <formula>30</formula>
      <formula>60</formula>
    </cfRule>
    <cfRule type="cellIs" dxfId="66" priority="29" operator="lessThan">
      <formula>30</formula>
    </cfRule>
  </conditionalFormatting>
  <conditionalFormatting sqref="J9">
    <cfRule type="cellIs" dxfId="65" priority="26" operator="greaterThan">
      <formula>"H9&gt;60"</formula>
    </cfRule>
  </conditionalFormatting>
  <conditionalFormatting sqref="K1:K582">
    <cfRule type="containsText" dxfId="64" priority="31" operator="containsText" text="Mayor a 60 días">
      <formula>NOT(ISERROR(SEARCH(("Mayor a 60 días"),(K1))))</formula>
    </cfRule>
    <cfRule type="containsText" dxfId="63" priority="32" operator="containsText" text="Entre 30 y 60 días">
      <formula>NOT(ISERROR(SEARCH(("Entre 30 y 60 días"),(K1))))</formula>
    </cfRule>
    <cfRule type="containsText" dxfId="62" priority="33" operator="containsText" text="Menor a 30 días">
      <formula>NOT(ISERROR(SEARCH(("Menor a 30 días"),(K1))))</formula>
    </cfRule>
  </conditionalFormatting>
  <conditionalFormatting sqref="K2">
    <cfRule type="containsBlanks" dxfId="61" priority="25">
      <formula>LEN(TRIM(K2))=0</formula>
    </cfRule>
  </conditionalFormatting>
  <conditionalFormatting sqref="L2:U582">
    <cfRule type="containsText" dxfId="60" priority="1" operator="containsText" text="SOLICITADA">
      <formula>NOT(ISERROR(SEARCH("SOLICITADA",L2)))</formula>
    </cfRule>
    <cfRule type="containsText" dxfId="59" priority="2" operator="containsText" text="EN TRANSITO">
      <formula>NOT(ISERROR(SEARCH("EN TRANSITO",L2)))</formula>
    </cfRule>
    <cfRule type="containsText" dxfId="58" priority="3" operator="containsText" text="DIRECCIONAMIENTO SOLICITADO">
      <formula>NOT(ISERROR(SEARCH("DIRECCIONAMIENTO SOLICITADO",L2)))</formula>
    </cfRule>
    <cfRule type="containsText" dxfId="57" priority="4" operator="containsText" text="AGENDADA">
      <formula>NOT(ISERROR(SEARCH("AGENDADA",L2)))</formula>
    </cfRule>
    <cfRule type="containsText" dxfId="56" priority="5" operator="containsText" text="SIN AGENDAR">
      <formula>NOT(ISERROR(SEARCH("SIN AGENDAR",L2)))</formula>
    </cfRule>
    <cfRule type="containsText" dxfId="55" priority="6" operator="containsText" text="SIN INFORMACION">
      <formula>NOT(ISERROR(SEARCH("SIN INFORMACION",L2)))</formula>
    </cfRule>
    <cfRule type="containsText" dxfId="54" priority="7" operator="containsText" text="EN ALMACEN">
      <formula>NOT(ISERROR(SEARCH("EN ALMACEN",L2)))</formula>
    </cfRule>
    <cfRule type="containsText" dxfId="53" priority="8" operator="containsText" text="PROCESO DE CANCELACION">
      <formula>NOT(ISERROR(SEARCH("PROCESO DE CANCELACION",L2)))</formula>
    </cfRule>
    <cfRule type="containsText" dxfId="52" priority="9" operator="containsText" text="LIBERADO">
      <formula>NOT(ISERROR(SEARCH("LIBERADO",L2)))</formula>
    </cfRule>
    <cfRule type="containsText" dxfId="51" priority="10" operator="containsText" text="ENTREGADO">
      <formula>NOT(ISERROR(SEARCH("ENTREGADO",L2)))</formula>
    </cfRule>
    <cfRule type="containsText" dxfId="50" priority="11" operator="containsText" text="RETIRADA DE ALMACEN">
      <formula>NOT(ISERROR(SEARCH("RETIRADA DE ALMACEN",L2)))</formula>
    </cfRule>
    <cfRule type="containsText" dxfId="49" priority="12" operator="containsText" text="EN ESPERA DE ACCESO">
      <formula>NOT(ISERROR(SEARCH("EN ESPERA DE ACCESO",L2)))</formula>
    </cfRule>
    <cfRule type="containsText" dxfId="48" priority="13" operator="containsText" text="RETIRADO DE ALMACEN">
      <formula>NOT(ISERROR(SEARCH("RETIRADO DE ALMACEN",L2)))</formula>
    </cfRule>
    <cfRule type="containsText" dxfId="47" priority="14" operator="containsText" text="SIN GUIA">
      <formula>NOT(ISERROR(SEARCH("SIN GUIA",L2)))</formula>
    </cfRule>
    <cfRule type="containsText" dxfId="46" priority="15" operator="containsText" text="FOLIO SOLICITADO">
      <formula>NOT(ISERROR(SEARCH("FOLIO SOLICITADO",L2)))</formula>
    </cfRule>
    <cfRule type="containsText" dxfId="45" priority="16" operator="containsText" text="FOLIO GENERADO">
      <formula>NOT(ISERROR(SEARCH("FOLIO GENERADO",L2)))</formula>
    </cfRule>
    <cfRule type="containsText" dxfId="44" priority="17" operator="containsText" text="DIRECCIONAMIENTO GENERADO">
      <formula>NOT(ISERROR(SEARCH("DIRECCIONAMIENTO GENERADO",L2)))</formula>
    </cfRule>
    <cfRule type="containsText" dxfId="43" priority="18" operator="containsText" text="SIN GRUPO">
      <formula>NOT(ISERROR(SEARCH("SIN GRUPO",L2)))</formula>
    </cfRule>
    <cfRule type="containsText" dxfId="42" priority="19" operator="containsText" text="ACTIVO">
      <formula>NOT(ISERROR(SEARCH("ACTIVO",L2)))</formula>
    </cfRule>
    <cfRule type="containsText" dxfId="41" priority="20" operator="containsText" text="AP">
      <formula>NOT(ISERROR(SEARCH("AP",L2)))</formula>
    </cfRule>
    <cfRule type="containsText" dxfId="40" priority="21" operator="containsText" text="N/A">
      <formula>NOT(ISERROR(SEARCH("N/A",L2)))</formula>
    </cfRule>
    <cfRule type="containsText" dxfId="39" priority="22" operator="containsText" text="EN PROCESO">
      <formula>NOT(ISERROR(SEARCH("EN PROCESO",L2)))</formula>
    </cfRule>
    <cfRule type="containsText" dxfId="38" priority="23" operator="containsText" text="TERMINADA">
      <formula>NOT(ISERROR(SEARCH("TERMINADA",L2)))</formula>
    </cfRule>
  </conditionalFormatting>
  <conditionalFormatting sqref="A1:A150">
    <cfRule type="expression" dxfId="37" priority="1315">
      <formula>COUNTIF(A1:A969,A1)&gt;1</formula>
    </cfRule>
  </conditionalFormatting>
  <conditionalFormatting sqref="A156:A167">
    <cfRule type="expression" dxfId="36" priority="1317">
      <formula>COUNTIF(A156:A1133,A156)&gt;1</formula>
    </cfRule>
  </conditionalFormatting>
  <conditionalFormatting sqref="A230:A239">
    <cfRule type="expression" dxfId="35" priority="1322">
      <formula>COUNTIF(A230:A1215,A230)&gt;1</formula>
    </cfRule>
  </conditionalFormatting>
  <conditionalFormatting sqref="A240:A245">
    <cfRule type="expression" dxfId="34" priority="1323">
      <formula>COUNTIF(A240:A1227,A240)&gt;1</formula>
    </cfRule>
  </conditionalFormatting>
  <conditionalFormatting sqref="A246:A257">
    <cfRule type="expression" dxfId="33" priority="1324">
      <formula>COUNTIF(A246:A1235,A246)&gt;1</formula>
    </cfRule>
  </conditionalFormatting>
  <dataValidations count="12">
    <dataValidation type="list" allowBlank="1" showErrorMessage="1" sqref="M2:M127 M128:N129 M130:M469" xr:uid="{00000000-0002-0000-0000-000001000000}">
      <formula1>"N/A,TERMINADA,EN PROCESO,EN APROBACION"</formula1>
    </dataValidation>
    <dataValidation type="list" allowBlank="1" showErrorMessage="1" sqref="N2:N127 N130:N469" xr:uid="{00000000-0002-0000-0000-00000A000000}">
      <formula1>"N/A,TERMINADA,EN PROCESO"</formula1>
    </dataValidation>
    <dataValidation type="list" allowBlank="1" showErrorMessage="1" sqref="P2:P157 P161:P469" xr:uid="{00000000-0002-0000-0000-000005000000}">
      <formula1>"EN PROCESO,TERMINADA,N/A,SIN GRUPO"</formula1>
    </dataValidation>
    <dataValidation type="list" allowBlank="1" showErrorMessage="1" sqref="P158:P160 O2:O469" xr:uid="{00000000-0002-0000-0000-00000B000000}">
      <formula1>"ACTIVO,SIN GRUPO,N/A"</formula1>
    </dataValidation>
    <dataValidation type="list" allowBlank="1" showErrorMessage="1" sqref="R2:R469" xr:uid="{00000000-0002-0000-0000-000000000000}">
      <formula1>"N/A,SIN GUIA,EN TRANSITO,EN ALMACEN,RETIRADO DE ALMACEN"</formula1>
    </dataValidation>
    <dataValidation type="list" allowBlank="1" showErrorMessage="1" sqref="V2:V469" xr:uid="{00000000-0002-0000-0000-000002000000}">
      <formula1>"ACCESOS,EQUIPAMIENTO,ENTREGA,CONSTRUCCION,LICENCIAS,MATERIALES"</formula1>
    </dataValidation>
    <dataValidation type="list" allowBlank="1" showErrorMessage="1" sqref="T2:T469" xr:uid="{00000000-0002-0000-0000-000003000000}">
      <formula1>"N/A,LIBERADO,EN CAMBIO DE SUCURSAL,EN PROCESO,CANCELADO,PROCESO DE CANCELACION"</formula1>
    </dataValidation>
    <dataValidation type="list" allowBlank="1" showErrorMessage="1" sqref="Q2:Q469" xr:uid="{00000000-0002-0000-0000-000004000000}">
      <formula1>"N/A,SIN INFORMACION DE HUB,FOLIO SOLICITADO,FOLIO GENERADO,DIRECCIONAMIENTO SOLICITADO,DIRECCIONAMIENTO GENERADO"</formula1>
    </dataValidation>
    <dataValidation type="list" allowBlank="1" showErrorMessage="1" sqref="L2:L469" xr:uid="{00000000-0002-0000-0000-000006000000}">
      <formula1>"SIN AGENDAR,N/A,AGENDADA,TERMINADA,EN ESPERA DE ACCESO,AP"</formula1>
    </dataValidation>
    <dataValidation type="list" allowBlank="1" showErrorMessage="1" sqref="U2:U469" xr:uid="{00000000-0002-0000-0000-000007000000}">
      <formula1>"EN PROCESO,ENTREGADO,CANCELADO,PROCESO DE CANCELACION"</formula1>
    </dataValidation>
    <dataValidation type="list" allowBlank="1" showErrorMessage="1" sqref="S2:S469" xr:uid="{00000000-0002-0000-0000-000009000000}">
      <formula1>"N/A,SIN INFORMACION,SOLICITADA,EN ALMACEN,RETIRADA DE ALMACEN,SIN IMPRIMIR"</formula1>
    </dataValidation>
    <dataValidation type="list" allowBlank="1" showErrorMessage="1" sqref="W2:W469" xr:uid="{00000000-0002-0000-0000-000008000000}">
      <formula1>"CLIENTE,IMPLEMENTACION PLAZA,IMPLEMENTACION CORPORATIVO,ATD,CONSTRUCCION,PM,MCM,COMERCIAL,MICROONDAS,SOC"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3AFA-396A-40D1-A034-6025036382FE}">
  <sheetPr filterMode="1"/>
  <dimension ref="A1:AA169"/>
  <sheetViews>
    <sheetView workbookViewId="0">
      <selection activeCell="C177" sqref="C177"/>
    </sheetView>
  </sheetViews>
  <sheetFormatPr defaultRowHeight="12.75"/>
  <cols>
    <col min="4" max="4" width="42.7109375" customWidth="1"/>
    <col min="5" max="5" width="18" customWidth="1"/>
    <col min="6" max="6" width="12.7109375" customWidth="1"/>
    <col min="7" max="8" width="0" hidden="1" customWidth="1"/>
    <col min="10" max="10" width="0" hidden="1" customWidth="1"/>
    <col min="11" max="11" width="18.7109375" customWidth="1"/>
    <col min="12" max="12" width="11.5703125" customWidth="1"/>
    <col min="13" max="13" width="21.5703125" customWidth="1"/>
    <col min="14" max="14" width="0" hidden="1" customWidth="1"/>
    <col min="15" max="15" width="19.140625" hidden="1" customWidth="1"/>
    <col min="16" max="16" width="0" hidden="1" customWidth="1"/>
    <col min="17" max="17" width="18.140625" customWidth="1"/>
    <col min="18" max="18" width="16.85546875" customWidth="1"/>
    <col min="19" max="19" width="16.42578125" customWidth="1"/>
    <col min="26" max="26" width="16.7109375" customWidth="1"/>
    <col min="27" max="27" width="14.5703125" bestFit="1" customWidth="1"/>
  </cols>
  <sheetData>
    <row r="1" spans="1:27" ht="36">
      <c r="A1" s="131" t="s">
        <v>1309</v>
      </c>
      <c r="B1" s="132" t="s">
        <v>1310</v>
      </c>
      <c r="C1" s="132" t="s">
        <v>1311</v>
      </c>
      <c r="D1" s="132" t="s">
        <v>1312</v>
      </c>
      <c r="E1" s="132" t="s">
        <v>1313</v>
      </c>
      <c r="F1" s="132" t="s">
        <v>1314</v>
      </c>
      <c r="G1" s="132" t="s">
        <v>1315</v>
      </c>
      <c r="H1" s="132" t="s">
        <v>1316</v>
      </c>
      <c r="I1" s="132" t="s">
        <v>1317</v>
      </c>
      <c r="J1" s="132" t="s">
        <v>1318</v>
      </c>
      <c r="K1" s="132" t="s">
        <v>1319</v>
      </c>
      <c r="L1" s="132" t="s">
        <v>1320</v>
      </c>
      <c r="M1" s="132" t="s">
        <v>1321</v>
      </c>
      <c r="N1" s="132" t="s">
        <v>1322</v>
      </c>
      <c r="O1" s="132" t="s">
        <v>1323</v>
      </c>
      <c r="P1" s="133" t="s">
        <v>1324</v>
      </c>
      <c r="Q1" s="132" t="s">
        <v>1325</v>
      </c>
      <c r="R1" s="132" t="s">
        <v>1326</v>
      </c>
      <c r="S1" s="132" t="s">
        <v>1327</v>
      </c>
      <c r="T1" s="132" t="s">
        <v>1328</v>
      </c>
      <c r="U1" s="132" t="s">
        <v>1329</v>
      </c>
      <c r="V1" s="132" t="s">
        <v>1330</v>
      </c>
      <c r="W1" s="132" t="s">
        <v>1331</v>
      </c>
      <c r="X1" s="132" t="s">
        <v>1332</v>
      </c>
      <c r="Y1" s="132" t="s">
        <v>1333</v>
      </c>
      <c r="Z1" s="134" t="s">
        <v>1334</v>
      </c>
      <c r="AA1" s="134" t="s">
        <v>23</v>
      </c>
    </row>
    <row r="2" spans="1:27" ht="15" hidden="1">
      <c r="A2" s="135" t="s">
        <v>1335</v>
      </c>
      <c r="B2" s="135">
        <v>5</v>
      </c>
      <c r="C2" s="136">
        <v>1</v>
      </c>
      <c r="D2" s="135" t="s">
        <v>1336</v>
      </c>
      <c r="E2" s="135" t="s">
        <v>1337</v>
      </c>
      <c r="F2" s="135"/>
      <c r="G2" s="135">
        <v>20</v>
      </c>
      <c r="H2" s="137" t="s">
        <v>1338</v>
      </c>
      <c r="I2" s="135" t="s">
        <v>1339</v>
      </c>
      <c r="J2" s="137" t="s">
        <v>1340</v>
      </c>
      <c r="K2" s="135" t="s">
        <v>1341</v>
      </c>
      <c r="L2" s="135" t="s">
        <v>1342</v>
      </c>
      <c r="M2" s="135" t="s">
        <v>1343</v>
      </c>
      <c r="N2" s="135" t="s">
        <v>1344</v>
      </c>
      <c r="O2" s="135" t="s">
        <v>1345</v>
      </c>
      <c r="P2" s="135" t="s">
        <v>1346</v>
      </c>
      <c r="Q2" s="138">
        <v>3649</v>
      </c>
      <c r="R2" s="135">
        <v>4007</v>
      </c>
      <c r="S2" s="135" t="s">
        <v>1347</v>
      </c>
      <c r="T2" s="135">
        <v>0</v>
      </c>
      <c r="U2" s="135">
        <v>0</v>
      </c>
      <c r="V2" s="135">
        <v>0</v>
      </c>
      <c r="W2" s="135">
        <v>0</v>
      </c>
      <c r="X2" s="135" t="s">
        <v>1348</v>
      </c>
      <c r="Y2" s="135" t="s">
        <v>1349</v>
      </c>
      <c r="Z2" s="134" t="s">
        <v>1350</v>
      </c>
      <c r="AA2" s="134"/>
    </row>
    <row r="3" spans="1:27" s="152" customFormat="1" ht="15">
      <c r="A3" s="148" t="s">
        <v>1351</v>
      </c>
      <c r="B3" s="148">
        <v>5</v>
      </c>
      <c r="C3" s="149">
        <v>1</v>
      </c>
      <c r="D3" s="148" t="s">
        <v>1352</v>
      </c>
      <c r="E3" s="148" t="s">
        <v>1353</v>
      </c>
      <c r="F3" s="148" t="s">
        <v>1354</v>
      </c>
      <c r="G3" s="135">
        <v>19</v>
      </c>
      <c r="H3" s="137" t="s">
        <v>1355</v>
      </c>
      <c r="I3" s="148" t="s">
        <v>1339</v>
      </c>
      <c r="J3" s="137" t="s">
        <v>1340</v>
      </c>
      <c r="K3" s="148" t="s">
        <v>1356</v>
      </c>
      <c r="L3" s="148" t="s">
        <v>1342</v>
      </c>
      <c r="M3" s="148" t="s">
        <v>1357</v>
      </c>
      <c r="N3" s="135" t="s">
        <v>1344</v>
      </c>
      <c r="O3" s="135" t="s">
        <v>1345</v>
      </c>
      <c r="P3" s="135" t="s">
        <v>1346</v>
      </c>
      <c r="Q3" s="150">
        <v>6396</v>
      </c>
      <c r="R3" s="148">
        <v>6409</v>
      </c>
      <c r="S3" s="148" t="s">
        <v>1347</v>
      </c>
      <c r="T3" s="148">
        <v>0</v>
      </c>
      <c r="U3" s="148">
        <v>0</v>
      </c>
      <c r="V3" s="148">
        <v>0</v>
      </c>
      <c r="W3" s="148">
        <v>0</v>
      </c>
      <c r="X3" s="148" t="s">
        <v>1348</v>
      </c>
      <c r="Y3" s="148" t="s">
        <v>1349</v>
      </c>
      <c r="Z3" s="151" t="s">
        <v>1334</v>
      </c>
      <c r="AA3" s="151" t="s">
        <v>1358</v>
      </c>
    </row>
    <row r="4" spans="1:27" s="152" customFormat="1" ht="15">
      <c r="A4" s="148" t="s">
        <v>1359</v>
      </c>
      <c r="B4" s="148">
        <v>4</v>
      </c>
      <c r="C4" s="149">
        <v>1</v>
      </c>
      <c r="D4" s="148" t="s">
        <v>1360</v>
      </c>
      <c r="E4" s="148" t="s">
        <v>1361</v>
      </c>
      <c r="F4" s="148" t="s">
        <v>1362</v>
      </c>
      <c r="G4" s="135">
        <v>19</v>
      </c>
      <c r="H4" s="137" t="s">
        <v>1363</v>
      </c>
      <c r="I4" s="148" t="s">
        <v>1364</v>
      </c>
      <c r="J4" s="137" t="s">
        <v>1340</v>
      </c>
      <c r="K4" s="148" t="s">
        <v>1365</v>
      </c>
      <c r="L4" s="148" t="s">
        <v>1342</v>
      </c>
      <c r="M4" s="148" t="s">
        <v>1357</v>
      </c>
      <c r="N4" s="135" t="s">
        <v>1344</v>
      </c>
      <c r="O4" s="135" t="s">
        <v>1345</v>
      </c>
      <c r="P4" s="135" t="s">
        <v>1346</v>
      </c>
      <c r="Q4" s="148">
        <v>205</v>
      </c>
      <c r="R4" s="148">
        <v>8096</v>
      </c>
      <c r="S4" s="148" t="s">
        <v>1366</v>
      </c>
      <c r="T4" s="148" t="s">
        <v>1367</v>
      </c>
      <c r="U4" s="148">
        <v>3</v>
      </c>
      <c r="V4" s="148">
        <v>1350</v>
      </c>
      <c r="W4" s="148">
        <v>1370</v>
      </c>
      <c r="X4" s="148" t="s">
        <v>1368</v>
      </c>
      <c r="Y4" s="148" t="s">
        <v>1369</v>
      </c>
      <c r="Z4" s="151" t="s">
        <v>1334</v>
      </c>
      <c r="AA4" s="151"/>
    </row>
    <row r="5" spans="1:27" s="156" customFormat="1" ht="15">
      <c r="A5" s="153" t="s">
        <v>1370</v>
      </c>
      <c r="B5" s="153">
        <v>8</v>
      </c>
      <c r="C5" s="154">
        <v>1</v>
      </c>
      <c r="D5" s="153" t="s">
        <v>1371</v>
      </c>
      <c r="E5" s="153" t="s">
        <v>1372</v>
      </c>
      <c r="F5" s="153" t="s">
        <v>1373</v>
      </c>
      <c r="G5" s="135">
        <v>20</v>
      </c>
      <c r="H5" s="137" t="s">
        <v>1374</v>
      </c>
      <c r="I5" s="153" t="s">
        <v>1339</v>
      </c>
      <c r="J5" s="137" t="s">
        <v>1340</v>
      </c>
      <c r="K5" s="153" t="s">
        <v>1375</v>
      </c>
      <c r="L5" s="153" t="s">
        <v>1342</v>
      </c>
      <c r="M5" s="153" t="s">
        <v>1357</v>
      </c>
      <c r="N5" s="135" t="s">
        <v>1344</v>
      </c>
      <c r="O5" s="135" t="s">
        <v>1345</v>
      </c>
      <c r="P5" s="135" t="s">
        <v>1346</v>
      </c>
      <c r="Q5" s="153" t="s">
        <v>1376</v>
      </c>
      <c r="R5" s="153">
        <v>9847</v>
      </c>
      <c r="S5" s="153" t="s">
        <v>1347</v>
      </c>
      <c r="T5" s="153">
        <v>0</v>
      </c>
      <c r="U5" s="153">
        <v>0</v>
      </c>
      <c r="V5" s="153">
        <v>0</v>
      </c>
      <c r="W5" s="153">
        <v>0</v>
      </c>
      <c r="X5" s="153" t="s">
        <v>1377</v>
      </c>
      <c r="Y5" s="153" t="s">
        <v>1349</v>
      </c>
      <c r="Z5" s="155" t="s">
        <v>1378</v>
      </c>
      <c r="AA5" s="155" t="s">
        <v>1379</v>
      </c>
    </row>
    <row r="6" spans="1:27" s="152" customFormat="1" ht="15">
      <c r="A6" s="148" t="s">
        <v>1380</v>
      </c>
      <c r="B6" s="148">
        <v>1</v>
      </c>
      <c r="C6" s="149">
        <v>1</v>
      </c>
      <c r="D6" s="148" t="s">
        <v>1381</v>
      </c>
      <c r="E6" s="148" t="s">
        <v>1382</v>
      </c>
      <c r="F6" s="148" t="s">
        <v>1383</v>
      </c>
      <c r="G6" s="135">
        <v>19</v>
      </c>
      <c r="H6" s="137" t="s">
        <v>1384</v>
      </c>
      <c r="I6" s="148" t="s">
        <v>1339</v>
      </c>
      <c r="J6" s="137" t="s">
        <v>1340</v>
      </c>
      <c r="K6" s="148" t="s">
        <v>1385</v>
      </c>
      <c r="L6" s="148" t="s">
        <v>1342</v>
      </c>
      <c r="M6" s="148" t="s">
        <v>1357</v>
      </c>
      <c r="N6" s="135" t="s">
        <v>1344</v>
      </c>
      <c r="O6" s="135" t="s">
        <v>1345</v>
      </c>
      <c r="P6" s="135" t="s">
        <v>1346</v>
      </c>
      <c r="Q6" s="150">
        <v>6889</v>
      </c>
      <c r="R6" s="148">
        <v>6954</v>
      </c>
      <c r="S6" s="148" t="s">
        <v>1347</v>
      </c>
      <c r="T6" s="148">
        <v>0</v>
      </c>
      <c r="U6" s="148">
        <v>0</v>
      </c>
      <c r="V6" s="148">
        <v>0</v>
      </c>
      <c r="W6" s="148">
        <v>0</v>
      </c>
      <c r="X6" s="148" t="s">
        <v>1386</v>
      </c>
      <c r="Y6" s="148" t="s">
        <v>1349</v>
      </c>
      <c r="Z6" s="151" t="s">
        <v>1334</v>
      </c>
      <c r="AA6" s="151"/>
    </row>
    <row r="7" spans="1:27" s="152" customFormat="1" ht="15">
      <c r="A7" s="148" t="s">
        <v>1387</v>
      </c>
      <c r="B7" s="148">
        <v>3</v>
      </c>
      <c r="C7" s="149">
        <v>1</v>
      </c>
      <c r="D7" s="148" t="s">
        <v>1388</v>
      </c>
      <c r="E7" s="148" t="s">
        <v>1389</v>
      </c>
      <c r="F7" s="148" t="s">
        <v>1390</v>
      </c>
      <c r="G7" s="135">
        <v>20</v>
      </c>
      <c r="H7" s="137" t="s">
        <v>1391</v>
      </c>
      <c r="I7" s="148" t="s">
        <v>1339</v>
      </c>
      <c r="J7" s="137" t="s">
        <v>1340</v>
      </c>
      <c r="K7" s="148" t="s">
        <v>1392</v>
      </c>
      <c r="L7" s="148" t="s">
        <v>1342</v>
      </c>
      <c r="M7" s="148" t="s">
        <v>1357</v>
      </c>
      <c r="N7" s="135" t="s">
        <v>1344</v>
      </c>
      <c r="O7" s="135" t="s">
        <v>1345</v>
      </c>
      <c r="P7" s="135" t="s">
        <v>1346</v>
      </c>
      <c r="Q7" s="148">
        <v>530</v>
      </c>
      <c r="R7" s="148">
        <v>560</v>
      </c>
      <c r="S7" s="148" t="s">
        <v>1347</v>
      </c>
      <c r="T7" s="148">
        <v>0</v>
      </c>
      <c r="U7" s="148">
        <v>0</v>
      </c>
      <c r="V7" s="148">
        <v>0</v>
      </c>
      <c r="W7" s="148">
        <v>0</v>
      </c>
      <c r="X7" s="148" t="s">
        <v>1393</v>
      </c>
      <c r="Y7" s="148" t="s">
        <v>1349</v>
      </c>
      <c r="Z7" s="151" t="s">
        <v>1334</v>
      </c>
      <c r="AA7" s="151" t="s">
        <v>1394</v>
      </c>
    </row>
    <row r="8" spans="1:27" s="152" customFormat="1" ht="15">
      <c r="A8" s="148" t="s">
        <v>1395</v>
      </c>
      <c r="B8" s="148">
        <v>7</v>
      </c>
      <c r="C8" s="149">
        <v>1</v>
      </c>
      <c r="D8" s="148" t="s">
        <v>1396</v>
      </c>
      <c r="E8" s="148" t="s">
        <v>1397</v>
      </c>
      <c r="F8" s="148" t="s">
        <v>1398</v>
      </c>
      <c r="G8" s="135">
        <v>19</v>
      </c>
      <c r="H8" s="135">
        <v>-99</v>
      </c>
      <c r="I8" s="148" t="s">
        <v>1339</v>
      </c>
      <c r="J8" s="137" t="s">
        <v>1340</v>
      </c>
      <c r="K8" s="148" t="s">
        <v>1399</v>
      </c>
      <c r="L8" s="148" t="s">
        <v>1342</v>
      </c>
      <c r="M8" s="148" t="s">
        <v>1357</v>
      </c>
      <c r="N8" s="135" t="s">
        <v>1344</v>
      </c>
      <c r="O8" s="135" t="s">
        <v>1345</v>
      </c>
      <c r="P8" s="135" t="s">
        <v>1346</v>
      </c>
      <c r="Q8" s="150">
        <v>6034</v>
      </c>
      <c r="R8" s="148">
        <v>6076</v>
      </c>
      <c r="S8" s="148" t="s">
        <v>1347</v>
      </c>
      <c r="T8" s="148">
        <v>0</v>
      </c>
      <c r="U8" s="148">
        <v>0</v>
      </c>
      <c r="V8" s="148">
        <v>0</v>
      </c>
      <c r="W8" s="148">
        <v>0</v>
      </c>
      <c r="X8" s="148" t="s">
        <v>1400</v>
      </c>
      <c r="Y8" s="148" t="s">
        <v>1349</v>
      </c>
      <c r="Z8" s="151" t="s">
        <v>1334</v>
      </c>
      <c r="AA8" s="151"/>
    </row>
    <row r="9" spans="1:27" s="160" customFormat="1" ht="15">
      <c r="A9" s="157" t="s">
        <v>1401</v>
      </c>
      <c r="B9" s="157">
        <v>6</v>
      </c>
      <c r="C9" s="158">
        <v>1</v>
      </c>
      <c r="D9" s="157" t="s">
        <v>1402</v>
      </c>
      <c r="E9" s="157" t="s">
        <v>1403</v>
      </c>
      <c r="F9" s="157"/>
      <c r="G9" s="135">
        <v>19</v>
      </c>
      <c r="H9" s="137" t="s">
        <v>1404</v>
      </c>
      <c r="I9" s="157" t="s">
        <v>1339</v>
      </c>
      <c r="J9" s="137" t="s">
        <v>1340</v>
      </c>
      <c r="K9" s="157" t="s">
        <v>1405</v>
      </c>
      <c r="L9" s="157" t="s">
        <v>1406</v>
      </c>
      <c r="M9" s="157" t="s">
        <v>1357</v>
      </c>
      <c r="N9" s="135" t="s">
        <v>1344</v>
      </c>
      <c r="O9" s="135" t="s">
        <v>1345</v>
      </c>
      <c r="P9" s="135" t="s">
        <v>1346</v>
      </c>
      <c r="Q9" s="157" t="s">
        <v>1407</v>
      </c>
      <c r="R9" s="157">
        <v>8920</v>
      </c>
      <c r="S9" s="157" t="s">
        <v>1347</v>
      </c>
      <c r="T9" s="157">
        <v>0</v>
      </c>
      <c r="U9" s="157">
        <v>0</v>
      </c>
      <c r="V9" s="157">
        <v>0</v>
      </c>
      <c r="W9" s="157">
        <v>0</v>
      </c>
      <c r="X9" s="157" t="s">
        <v>1408</v>
      </c>
      <c r="Y9" s="157" t="s">
        <v>1349</v>
      </c>
      <c r="Z9" s="159" t="s">
        <v>1378</v>
      </c>
      <c r="AA9" s="157" t="s">
        <v>60</v>
      </c>
    </row>
    <row r="10" spans="1:27" s="152" customFormat="1" ht="15">
      <c r="A10" s="148" t="s">
        <v>1409</v>
      </c>
      <c r="B10" s="148">
        <v>1</v>
      </c>
      <c r="C10" s="149">
        <v>3</v>
      </c>
      <c r="D10" s="148" t="s">
        <v>1410</v>
      </c>
      <c r="E10" s="148" t="s">
        <v>1411</v>
      </c>
      <c r="F10" s="148" t="s">
        <v>1412</v>
      </c>
      <c r="G10" s="135">
        <v>19</v>
      </c>
      <c r="H10" s="137" t="s">
        <v>1413</v>
      </c>
      <c r="I10" s="148" t="s">
        <v>1339</v>
      </c>
      <c r="J10" s="137" t="s">
        <v>1340</v>
      </c>
      <c r="K10" s="148" t="s">
        <v>1414</v>
      </c>
      <c r="L10" s="148" t="s">
        <v>1342</v>
      </c>
      <c r="M10" s="148" t="s">
        <v>1357</v>
      </c>
      <c r="N10" s="135" t="s">
        <v>1344</v>
      </c>
      <c r="O10" s="135" t="s">
        <v>1345</v>
      </c>
      <c r="P10" s="135" t="s">
        <v>1346</v>
      </c>
      <c r="Q10" s="148" t="s">
        <v>1415</v>
      </c>
      <c r="R10" s="148">
        <v>4496</v>
      </c>
      <c r="S10" s="148" t="s">
        <v>1347</v>
      </c>
      <c r="T10" s="148">
        <v>0</v>
      </c>
      <c r="U10" s="148">
        <v>0</v>
      </c>
      <c r="V10" s="148">
        <v>0</v>
      </c>
      <c r="W10" s="148">
        <v>0</v>
      </c>
      <c r="X10" s="148" t="s">
        <v>1386</v>
      </c>
      <c r="Y10" s="148" t="s">
        <v>1416</v>
      </c>
      <c r="Z10" s="151" t="s">
        <v>1334</v>
      </c>
      <c r="AA10" s="151"/>
    </row>
    <row r="11" spans="1:27" s="156" customFormat="1" ht="15">
      <c r="A11" s="153" t="s">
        <v>1409</v>
      </c>
      <c r="B11" s="153">
        <v>6</v>
      </c>
      <c r="C11" s="154">
        <v>1</v>
      </c>
      <c r="D11" s="153" t="s">
        <v>1417</v>
      </c>
      <c r="E11" s="153" t="s">
        <v>1418</v>
      </c>
      <c r="F11" s="153" t="s">
        <v>1419</v>
      </c>
      <c r="G11" s="135">
        <v>19</v>
      </c>
      <c r="H11" s="137" t="s">
        <v>1420</v>
      </c>
      <c r="I11" s="153" t="s">
        <v>1339</v>
      </c>
      <c r="J11" s="137" t="s">
        <v>1340</v>
      </c>
      <c r="K11" s="153" t="s">
        <v>1414</v>
      </c>
      <c r="L11" s="153" t="s">
        <v>1342</v>
      </c>
      <c r="M11" s="153" t="s">
        <v>1357</v>
      </c>
      <c r="N11" s="135" t="s">
        <v>1344</v>
      </c>
      <c r="O11" s="135" t="s">
        <v>1345</v>
      </c>
      <c r="P11" s="135" t="s">
        <v>1346</v>
      </c>
      <c r="Q11" s="161">
        <v>5727</v>
      </c>
      <c r="R11" s="153">
        <v>5797</v>
      </c>
      <c r="S11" s="153" t="s">
        <v>1347</v>
      </c>
      <c r="T11" s="153">
        <v>0</v>
      </c>
      <c r="U11" s="153">
        <v>0</v>
      </c>
      <c r="V11" s="153">
        <v>0</v>
      </c>
      <c r="W11" s="153">
        <v>0</v>
      </c>
      <c r="X11" s="153" t="s">
        <v>1408</v>
      </c>
      <c r="Y11" s="153" t="s">
        <v>1349</v>
      </c>
      <c r="Z11" s="155" t="s">
        <v>1378</v>
      </c>
      <c r="AA11" s="155" t="s">
        <v>1421</v>
      </c>
    </row>
    <row r="12" spans="1:27" s="156" customFormat="1" ht="15">
      <c r="A12" s="153" t="s">
        <v>1422</v>
      </c>
      <c r="B12" s="153">
        <v>3</v>
      </c>
      <c r="C12" s="154">
        <v>3</v>
      </c>
      <c r="D12" s="153" t="s">
        <v>1423</v>
      </c>
      <c r="E12" s="153" t="s">
        <v>1424</v>
      </c>
      <c r="F12" s="153" t="s">
        <v>1425</v>
      </c>
      <c r="G12" s="135">
        <v>-99</v>
      </c>
      <c r="H12" s="137" t="s">
        <v>1426</v>
      </c>
      <c r="I12" s="153" t="s">
        <v>1364</v>
      </c>
      <c r="J12" s="137" t="s">
        <v>1340</v>
      </c>
      <c r="K12" s="153" t="s">
        <v>1427</v>
      </c>
      <c r="L12" s="153" t="s">
        <v>1342</v>
      </c>
      <c r="M12" s="153" t="s">
        <v>1357</v>
      </c>
      <c r="N12" s="135" t="s">
        <v>1344</v>
      </c>
      <c r="O12" s="135" t="s">
        <v>1345</v>
      </c>
      <c r="P12" s="135" t="s">
        <v>1346</v>
      </c>
      <c r="Q12" s="161">
        <v>4377</v>
      </c>
      <c r="R12" s="153">
        <v>4467</v>
      </c>
      <c r="S12" s="153" t="s">
        <v>1366</v>
      </c>
      <c r="T12" s="153" t="s">
        <v>1428</v>
      </c>
      <c r="U12" s="153">
        <v>2</v>
      </c>
      <c r="V12" s="153">
        <v>1310</v>
      </c>
      <c r="W12" s="153">
        <v>1330</v>
      </c>
      <c r="X12" s="153" t="s">
        <v>1393</v>
      </c>
      <c r="Y12" s="153" t="s">
        <v>1429</v>
      </c>
      <c r="Z12" s="155" t="s">
        <v>1378</v>
      </c>
      <c r="AA12" s="155" t="s">
        <v>1430</v>
      </c>
    </row>
    <row r="13" spans="1:27" ht="15">
      <c r="A13" s="135" t="s">
        <v>1422</v>
      </c>
      <c r="B13" s="135">
        <v>3</v>
      </c>
      <c r="C13" s="136">
        <v>3</v>
      </c>
      <c r="D13" s="135" t="s">
        <v>1431</v>
      </c>
      <c r="E13" s="135" t="s">
        <v>1432</v>
      </c>
      <c r="F13" s="135" t="s">
        <v>1433</v>
      </c>
      <c r="G13" s="135">
        <v>19</v>
      </c>
      <c r="H13" s="137" t="s">
        <v>1434</v>
      </c>
      <c r="I13" s="135" t="s">
        <v>1364</v>
      </c>
      <c r="J13" s="137" t="s">
        <v>1340</v>
      </c>
      <c r="K13" s="135" t="s">
        <v>1427</v>
      </c>
      <c r="L13" s="135" t="s">
        <v>1342</v>
      </c>
      <c r="M13" s="135" t="s">
        <v>1357</v>
      </c>
      <c r="N13" s="135" t="s">
        <v>1344</v>
      </c>
      <c r="O13" s="135" t="s">
        <v>1345</v>
      </c>
      <c r="P13" s="135" t="s">
        <v>1346</v>
      </c>
      <c r="Q13" s="138">
        <v>4377</v>
      </c>
      <c r="R13" s="135">
        <v>4472</v>
      </c>
      <c r="S13" s="135" t="s">
        <v>1366</v>
      </c>
      <c r="T13" s="135" t="s">
        <v>1428</v>
      </c>
      <c r="U13" s="135">
        <v>3</v>
      </c>
      <c r="V13" s="135">
        <v>1350</v>
      </c>
      <c r="W13" s="135">
        <v>1370</v>
      </c>
      <c r="X13" s="135" t="s">
        <v>1393</v>
      </c>
      <c r="Y13" s="135" t="s">
        <v>1429</v>
      </c>
      <c r="Z13" s="134" t="s">
        <v>1350</v>
      </c>
      <c r="AA13" s="134"/>
    </row>
    <row r="14" spans="1:27" ht="15">
      <c r="A14" s="135" t="s">
        <v>1422</v>
      </c>
      <c r="B14" s="135">
        <v>3</v>
      </c>
      <c r="C14" s="136">
        <v>3</v>
      </c>
      <c r="D14" s="135" t="s">
        <v>1435</v>
      </c>
      <c r="E14" s="135" t="s">
        <v>1436</v>
      </c>
      <c r="F14" s="135" t="s">
        <v>1437</v>
      </c>
      <c r="G14" s="135">
        <v>19</v>
      </c>
      <c r="H14" s="135">
        <v>-99.191000000000003</v>
      </c>
      <c r="I14" s="135" t="s">
        <v>1364</v>
      </c>
      <c r="J14" s="137" t="s">
        <v>1340</v>
      </c>
      <c r="K14" s="135" t="s">
        <v>1427</v>
      </c>
      <c r="L14" s="135" t="s">
        <v>1342</v>
      </c>
      <c r="M14" s="135" t="s">
        <v>1357</v>
      </c>
      <c r="N14" s="135" t="s">
        <v>1344</v>
      </c>
      <c r="O14" s="135" t="s">
        <v>1345</v>
      </c>
      <c r="P14" s="135" t="s">
        <v>1438</v>
      </c>
      <c r="Q14" s="138">
        <v>4377</v>
      </c>
      <c r="R14" s="135">
        <v>4472</v>
      </c>
      <c r="S14" s="135" t="s">
        <v>1366</v>
      </c>
      <c r="T14" s="135" t="s">
        <v>1428</v>
      </c>
      <c r="U14" s="135">
        <v>1</v>
      </c>
      <c r="V14" s="135">
        <v>1270</v>
      </c>
      <c r="W14" s="135">
        <v>1290</v>
      </c>
      <c r="X14" s="135" t="s">
        <v>1393</v>
      </c>
      <c r="Y14" s="135" t="s">
        <v>1429</v>
      </c>
      <c r="Z14" s="134" t="s">
        <v>1350</v>
      </c>
      <c r="AA14" s="134"/>
    </row>
    <row r="15" spans="1:27" ht="15">
      <c r="A15" s="148" t="s">
        <v>1380</v>
      </c>
      <c r="B15" s="148">
        <v>2</v>
      </c>
      <c r="C15" s="149">
        <v>1</v>
      </c>
      <c r="D15" s="148" t="s">
        <v>1439</v>
      </c>
      <c r="E15" s="148" t="s">
        <v>1440</v>
      </c>
      <c r="F15" s="148" t="s">
        <v>1441</v>
      </c>
      <c r="G15" s="135">
        <v>19</v>
      </c>
      <c r="H15" s="137" t="s">
        <v>1442</v>
      </c>
      <c r="I15" s="148" t="s">
        <v>1339</v>
      </c>
      <c r="J15" s="137" t="s">
        <v>1340</v>
      </c>
      <c r="K15" s="148" t="s">
        <v>1385</v>
      </c>
      <c r="L15" s="148" t="s">
        <v>1342</v>
      </c>
      <c r="M15" s="148" t="s">
        <v>1357</v>
      </c>
      <c r="N15" s="135" t="s">
        <v>1344</v>
      </c>
      <c r="O15" s="135" t="s">
        <v>1345</v>
      </c>
      <c r="P15" s="135" t="s">
        <v>1346</v>
      </c>
      <c r="Q15" s="150">
        <v>6737</v>
      </c>
      <c r="R15" s="148">
        <v>6755</v>
      </c>
      <c r="S15" s="148" t="s">
        <v>1347</v>
      </c>
      <c r="T15" s="148">
        <v>0</v>
      </c>
      <c r="U15" s="148">
        <v>0</v>
      </c>
      <c r="V15" s="148">
        <v>0</v>
      </c>
      <c r="W15" s="148">
        <v>0</v>
      </c>
      <c r="X15" s="148" t="s">
        <v>1443</v>
      </c>
      <c r="Y15" s="148" t="s">
        <v>1349</v>
      </c>
      <c r="Z15" s="151" t="s">
        <v>1444</v>
      </c>
      <c r="AA15" s="134"/>
    </row>
    <row r="16" spans="1:27" ht="15">
      <c r="A16" s="135" t="s">
        <v>1401</v>
      </c>
      <c r="B16" s="135">
        <v>5</v>
      </c>
      <c r="C16" s="136">
        <v>1</v>
      </c>
      <c r="D16" s="140" t="s">
        <v>1445</v>
      </c>
      <c r="E16" s="135" t="s">
        <v>1446</v>
      </c>
      <c r="F16" s="135"/>
      <c r="G16" s="135">
        <v>19</v>
      </c>
      <c r="H16" s="137" t="s">
        <v>1447</v>
      </c>
      <c r="I16" s="135" t="s">
        <v>1364</v>
      </c>
      <c r="J16" s="137" t="s">
        <v>1340</v>
      </c>
      <c r="K16" s="135" t="s">
        <v>1405</v>
      </c>
      <c r="L16" s="135" t="s">
        <v>1342</v>
      </c>
      <c r="M16" s="135" t="s">
        <v>1357</v>
      </c>
      <c r="N16" s="135" t="s">
        <v>1344</v>
      </c>
      <c r="O16" s="135" t="s">
        <v>1345</v>
      </c>
      <c r="P16" s="135" t="s">
        <v>1346</v>
      </c>
      <c r="Q16" s="138">
        <v>8665</v>
      </c>
      <c r="R16" s="135">
        <v>8765</v>
      </c>
      <c r="S16" s="135" t="s">
        <v>1366</v>
      </c>
      <c r="T16" s="135" t="s">
        <v>1448</v>
      </c>
      <c r="U16" s="135">
        <v>3</v>
      </c>
      <c r="V16" s="135">
        <v>1350</v>
      </c>
      <c r="W16" s="135">
        <v>1370</v>
      </c>
      <c r="X16" s="135" t="s">
        <v>1348</v>
      </c>
      <c r="Y16" s="135" t="s">
        <v>1369</v>
      </c>
      <c r="Z16" s="134" t="s">
        <v>1350</v>
      </c>
      <c r="AA16" s="135" t="s">
        <v>60</v>
      </c>
    </row>
    <row r="17" spans="1:27" ht="15">
      <c r="A17" s="135" t="s">
        <v>1449</v>
      </c>
      <c r="B17" s="135">
        <v>7</v>
      </c>
      <c r="C17" s="136">
        <v>3</v>
      </c>
      <c r="D17" s="139" t="s">
        <v>1450</v>
      </c>
      <c r="E17" s="135" t="s">
        <v>1451</v>
      </c>
      <c r="F17" s="135" t="s">
        <v>1452</v>
      </c>
      <c r="G17" s="135">
        <v>20</v>
      </c>
      <c r="H17" s="135">
        <v>-991.89300000000003</v>
      </c>
      <c r="I17" s="135" t="s">
        <v>1339</v>
      </c>
      <c r="J17" s="137" t="s">
        <v>1340</v>
      </c>
      <c r="K17" s="135" t="s">
        <v>1453</v>
      </c>
      <c r="L17" s="135" t="s">
        <v>1342</v>
      </c>
      <c r="M17" s="135" t="s">
        <v>1454</v>
      </c>
      <c r="N17" s="135" t="s">
        <v>1344</v>
      </c>
      <c r="O17" s="135" t="s">
        <v>1345</v>
      </c>
      <c r="P17" s="135" t="s">
        <v>1346</v>
      </c>
      <c r="Q17" s="138">
        <v>7513</v>
      </c>
      <c r="R17" s="135">
        <v>7758</v>
      </c>
      <c r="S17" s="135" t="s">
        <v>1347</v>
      </c>
      <c r="T17" s="135">
        <v>0</v>
      </c>
      <c r="U17" s="135">
        <v>0</v>
      </c>
      <c r="V17" s="135">
        <v>0</v>
      </c>
      <c r="W17" s="135">
        <v>0</v>
      </c>
      <c r="X17" s="135" t="s">
        <v>1400</v>
      </c>
      <c r="Y17" s="135" t="s">
        <v>1416</v>
      </c>
      <c r="Z17" s="134" t="s">
        <v>1350</v>
      </c>
      <c r="AA17" s="134"/>
    </row>
    <row r="18" spans="1:27" ht="15">
      <c r="A18" s="135" t="s">
        <v>1449</v>
      </c>
      <c r="B18" s="135">
        <v>7</v>
      </c>
      <c r="C18" s="136">
        <v>1</v>
      </c>
      <c r="D18" s="139" t="s">
        <v>1455</v>
      </c>
      <c r="E18" s="135" t="s">
        <v>1456</v>
      </c>
      <c r="F18" s="135" t="s">
        <v>1457</v>
      </c>
      <c r="G18" s="135">
        <v>20</v>
      </c>
      <c r="H18" s="137" t="s">
        <v>1458</v>
      </c>
      <c r="I18" s="135" t="s">
        <v>1339</v>
      </c>
      <c r="J18" s="137" t="s">
        <v>1340</v>
      </c>
      <c r="K18" s="135" t="s">
        <v>1453</v>
      </c>
      <c r="L18" s="135" t="s">
        <v>1342</v>
      </c>
      <c r="M18" s="135" t="s">
        <v>1454</v>
      </c>
      <c r="N18" s="135" t="s">
        <v>1344</v>
      </c>
      <c r="O18" s="135" t="s">
        <v>1345</v>
      </c>
      <c r="P18" s="135" t="s">
        <v>1346</v>
      </c>
      <c r="Q18" s="135" t="s">
        <v>1459</v>
      </c>
      <c r="R18" s="135">
        <v>7765</v>
      </c>
      <c r="S18" s="135" t="s">
        <v>1347</v>
      </c>
      <c r="T18" s="135">
        <v>0</v>
      </c>
      <c r="U18" s="135">
        <v>0</v>
      </c>
      <c r="V18" s="135">
        <v>0</v>
      </c>
      <c r="W18" s="135">
        <v>0</v>
      </c>
      <c r="X18" s="135" t="s">
        <v>1400</v>
      </c>
      <c r="Y18" s="135" t="s">
        <v>1349</v>
      </c>
      <c r="Z18" s="134" t="s">
        <v>1350</v>
      </c>
      <c r="AA18" s="134"/>
    </row>
    <row r="19" spans="1:27" ht="15" hidden="1">
      <c r="A19" s="135" t="s">
        <v>1460</v>
      </c>
      <c r="B19" s="135">
        <v>5</v>
      </c>
      <c r="C19" s="136">
        <v>1</v>
      </c>
      <c r="D19" s="135" t="s">
        <v>1461</v>
      </c>
      <c r="E19" s="135" t="s">
        <v>1462</v>
      </c>
      <c r="F19" s="135"/>
      <c r="G19" s="135">
        <v>19</v>
      </c>
      <c r="H19" s="137" t="s">
        <v>1463</v>
      </c>
      <c r="I19" s="135" t="s">
        <v>1339</v>
      </c>
      <c r="J19" s="137" t="s">
        <v>1340</v>
      </c>
      <c r="K19" s="135" t="s">
        <v>1464</v>
      </c>
      <c r="L19" s="135" t="s">
        <v>1342</v>
      </c>
      <c r="M19" s="135" t="s">
        <v>1465</v>
      </c>
      <c r="N19" s="135" t="s">
        <v>1344</v>
      </c>
      <c r="O19" s="135" t="s">
        <v>1345</v>
      </c>
      <c r="P19" s="135" t="s">
        <v>1346</v>
      </c>
      <c r="Q19" s="138">
        <v>1456</v>
      </c>
      <c r="R19" s="135">
        <v>1518</v>
      </c>
      <c r="S19" s="135" t="s">
        <v>1347</v>
      </c>
      <c r="T19" s="135">
        <v>0</v>
      </c>
      <c r="U19" s="135">
        <v>0</v>
      </c>
      <c r="V19" s="135">
        <v>0</v>
      </c>
      <c r="W19" s="135">
        <v>0</v>
      </c>
      <c r="X19" s="135" t="s">
        <v>1348</v>
      </c>
      <c r="Y19" s="135" t="s">
        <v>1349</v>
      </c>
      <c r="Z19" s="134" t="s">
        <v>1350</v>
      </c>
      <c r="AA19" s="134"/>
    </row>
    <row r="20" spans="1:27" ht="15" hidden="1">
      <c r="A20" s="135" t="s">
        <v>1466</v>
      </c>
      <c r="B20" s="135">
        <v>6</v>
      </c>
      <c r="C20" s="136">
        <v>1</v>
      </c>
      <c r="D20" s="135" t="s">
        <v>1467</v>
      </c>
      <c r="E20" s="135" t="s">
        <v>1468</v>
      </c>
      <c r="F20" s="135"/>
      <c r="G20" s="135">
        <v>19</v>
      </c>
      <c r="H20" s="137" t="s">
        <v>1469</v>
      </c>
      <c r="I20" s="135" t="s">
        <v>1364</v>
      </c>
      <c r="J20" s="137" t="s">
        <v>1340</v>
      </c>
      <c r="K20" s="135" t="s">
        <v>1470</v>
      </c>
      <c r="L20" s="135" t="s">
        <v>1342</v>
      </c>
      <c r="M20" s="135" t="s">
        <v>1465</v>
      </c>
      <c r="N20" s="135" t="s">
        <v>1344</v>
      </c>
      <c r="O20" s="135" t="s">
        <v>1345</v>
      </c>
      <c r="P20" s="135" t="s">
        <v>1346</v>
      </c>
      <c r="Q20" s="138">
        <v>1874</v>
      </c>
      <c r="R20" s="135">
        <v>1912</v>
      </c>
      <c r="S20" s="135" t="s">
        <v>1366</v>
      </c>
      <c r="T20" s="135" t="s">
        <v>1471</v>
      </c>
      <c r="U20" s="135">
        <v>2</v>
      </c>
      <c r="V20" s="135">
        <v>1310</v>
      </c>
      <c r="W20" s="135">
        <v>1330</v>
      </c>
      <c r="X20" s="135" t="s">
        <v>1408</v>
      </c>
      <c r="Y20" s="135" t="s">
        <v>1369</v>
      </c>
      <c r="Z20" s="134" t="s">
        <v>1350</v>
      </c>
      <c r="AA20" s="134"/>
    </row>
    <row r="21" spans="1:27" ht="15">
      <c r="A21" s="148" t="s">
        <v>1466</v>
      </c>
      <c r="B21" s="148">
        <v>7</v>
      </c>
      <c r="C21" s="149">
        <v>1</v>
      </c>
      <c r="D21" s="148" t="s">
        <v>1472</v>
      </c>
      <c r="E21" s="148" t="s">
        <v>1473</v>
      </c>
      <c r="F21" s="148" t="s">
        <v>1474</v>
      </c>
      <c r="G21" s="135">
        <v>20</v>
      </c>
      <c r="H21" s="135">
        <v>-992.55200000000002</v>
      </c>
      <c r="I21" s="148" t="s">
        <v>1339</v>
      </c>
      <c r="J21" s="137" t="s">
        <v>1340</v>
      </c>
      <c r="K21" s="148" t="s">
        <v>1470</v>
      </c>
      <c r="L21" s="148" t="s">
        <v>1342</v>
      </c>
      <c r="M21" s="148" t="s">
        <v>1475</v>
      </c>
      <c r="N21" s="135" t="s">
        <v>1344</v>
      </c>
      <c r="O21" s="135" t="s">
        <v>1345</v>
      </c>
      <c r="P21" s="135" t="s">
        <v>1346</v>
      </c>
      <c r="Q21" s="148" t="s">
        <v>1476</v>
      </c>
      <c r="R21" s="148">
        <v>4625</v>
      </c>
      <c r="S21" s="148" t="s">
        <v>1347</v>
      </c>
      <c r="T21" s="148">
        <v>0</v>
      </c>
      <c r="U21" s="148">
        <v>0</v>
      </c>
      <c r="V21" s="148">
        <v>0</v>
      </c>
      <c r="W21" s="148">
        <v>0</v>
      </c>
      <c r="X21" s="148" t="s">
        <v>1400</v>
      </c>
      <c r="Y21" s="148" t="s">
        <v>1349</v>
      </c>
      <c r="Z21" s="151" t="s">
        <v>1444</v>
      </c>
      <c r="AA21" s="134"/>
    </row>
    <row r="22" spans="1:27" ht="15">
      <c r="A22" s="148" t="s">
        <v>1395</v>
      </c>
      <c r="B22" s="148">
        <v>3</v>
      </c>
      <c r="C22" s="149">
        <v>1</v>
      </c>
      <c r="D22" s="148" t="s">
        <v>1477</v>
      </c>
      <c r="E22" s="148" t="s">
        <v>1478</v>
      </c>
      <c r="F22" s="148" t="s">
        <v>1479</v>
      </c>
      <c r="G22" s="135">
        <v>20</v>
      </c>
      <c r="H22" s="137" t="s">
        <v>1480</v>
      </c>
      <c r="I22" s="148" t="s">
        <v>1364</v>
      </c>
      <c r="J22" s="137" t="s">
        <v>1340</v>
      </c>
      <c r="K22" s="148" t="s">
        <v>1399</v>
      </c>
      <c r="L22" s="148" t="s">
        <v>1342</v>
      </c>
      <c r="M22" s="148" t="s">
        <v>1475</v>
      </c>
      <c r="N22" s="135" t="s">
        <v>1344</v>
      </c>
      <c r="O22" s="135" t="s">
        <v>1345</v>
      </c>
      <c r="P22" s="135" t="s">
        <v>1346</v>
      </c>
      <c r="Q22" s="150">
        <v>6462</v>
      </c>
      <c r="R22" s="148">
        <v>7346</v>
      </c>
      <c r="S22" s="148" t="s">
        <v>1366</v>
      </c>
      <c r="T22" s="148" t="s">
        <v>1481</v>
      </c>
      <c r="U22" s="148">
        <v>2</v>
      </c>
      <c r="V22" s="148">
        <v>1310</v>
      </c>
      <c r="W22" s="148">
        <v>1330</v>
      </c>
      <c r="X22" s="148" t="s">
        <v>1393</v>
      </c>
      <c r="Y22" s="148" t="s">
        <v>1369</v>
      </c>
      <c r="Z22" s="151" t="s">
        <v>1444</v>
      </c>
      <c r="AA22" s="134"/>
    </row>
    <row r="23" spans="1:27" ht="15">
      <c r="A23" s="135" t="s">
        <v>1395</v>
      </c>
      <c r="B23" s="135">
        <v>3</v>
      </c>
      <c r="C23" s="136">
        <v>1</v>
      </c>
      <c r="D23" s="135" t="s">
        <v>1482</v>
      </c>
      <c r="E23" s="135" t="s">
        <v>1483</v>
      </c>
      <c r="F23" s="135" t="s">
        <v>1484</v>
      </c>
      <c r="G23" s="135">
        <v>20</v>
      </c>
      <c r="H23" s="137" t="s">
        <v>1485</v>
      </c>
      <c r="I23" s="135" t="s">
        <v>1364</v>
      </c>
      <c r="J23" s="137" t="s">
        <v>1340</v>
      </c>
      <c r="K23" s="135" t="s">
        <v>1399</v>
      </c>
      <c r="L23" s="135" t="s">
        <v>1342</v>
      </c>
      <c r="M23" s="135" t="s">
        <v>1475</v>
      </c>
      <c r="N23" s="135" t="s">
        <v>1344</v>
      </c>
      <c r="O23" s="135" t="s">
        <v>1345</v>
      </c>
      <c r="P23" s="135" t="s">
        <v>1346</v>
      </c>
      <c r="Q23" s="138">
        <v>6462</v>
      </c>
      <c r="R23" s="135">
        <v>7586</v>
      </c>
      <c r="S23" s="135" t="s">
        <v>1366</v>
      </c>
      <c r="T23" s="135" t="s">
        <v>1481</v>
      </c>
      <c r="U23" s="135">
        <v>3</v>
      </c>
      <c r="V23" s="135">
        <v>1350</v>
      </c>
      <c r="W23" s="135">
        <v>1370</v>
      </c>
      <c r="X23" s="135" t="s">
        <v>1393</v>
      </c>
      <c r="Y23" s="135" t="s">
        <v>1369</v>
      </c>
      <c r="Z23" s="134" t="s">
        <v>1350</v>
      </c>
      <c r="AA23" s="134"/>
    </row>
    <row r="24" spans="1:27" ht="15">
      <c r="A24" s="135" t="s">
        <v>1486</v>
      </c>
      <c r="B24" s="135">
        <v>1</v>
      </c>
      <c r="C24" s="136">
        <v>1</v>
      </c>
      <c r="D24" s="135" t="s">
        <v>1487</v>
      </c>
      <c r="E24" s="135" t="s">
        <v>1488</v>
      </c>
      <c r="F24" s="135" t="s">
        <v>1489</v>
      </c>
      <c r="G24" s="135">
        <v>20</v>
      </c>
      <c r="H24" s="135">
        <v>-992.46799999999996</v>
      </c>
      <c r="I24" s="135" t="s">
        <v>1339</v>
      </c>
      <c r="J24" s="137" t="s">
        <v>1340</v>
      </c>
      <c r="K24" s="135" t="s">
        <v>1490</v>
      </c>
      <c r="L24" s="135" t="s">
        <v>1342</v>
      </c>
      <c r="M24" s="135" t="s">
        <v>1475</v>
      </c>
      <c r="N24" s="135" t="s">
        <v>1344</v>
      </c>
      <c r="O24" s="135" t="s">
        <v>1345</v>
      </c>
      <c r="P24" s="135" t="s">
        <v>1491</v>
      </c>
      <c r="Q24" s="135" t="s">
        <v>1492</v>
      </c>
      <c r="R24" s="135">
        <v>1122</v>
      </c>
      <c r="S24" s="135" t="s">
        <v>1347</v>
      </c>
      <c r="T24" s="135">
        <v>0</v>
      </c>
      <c r="U24" s="135">
        <v>0</v>
      </c>
      <c r="V24" s="135">
        <v>0</v>
      </c>
      <c r="W24" s="135">
        <v>0</v>
      </c>
      <c r="X24" s="135" t="s">
        <v>1386</v>
      </c>
      <c r="Y24" s="135" t="s">
        <v>1349</v>
      </c>
      <c r="Z24" s="134" t="s">
        <v>1350</v>
      </c>
      <c r="AA24" s="134"/>
    </row>
    <row r="25" spans="1:27" ht="15">
      <c r="A25" s="135" t="s">
        <v>1460</v>
      </c>
      <c r="B25" s="135">
        <v>3</v>
      </c>
      <c r="C25" s="136">
        <v>1</v>
      </c>
      <c r="D25" s="135" t="s">
        <v>1493</v>
      </c>
      <c r="E25" s="135" t="s">
        <v>1494</v>
      </c>
      <c r="F25" s="135" t="s">
        <v>1495</v>
      </c>
      <c r="G25" s="135"/>
      <c r="H25" s="137" t="s">
        <v>1496</v>
      </c>
      <c r="I25" s="135" t="s">
        <v>1339</v>
      </c>
      <c r="J25" s="137" t="s">
        <v>1340</v>
      </c>
      <c r="K25" s="135" t="s">
        <v>1464</v>
      </c>
      <c r="L25" s="135" t="s">
        <v>1342</v>
      </c>
      <c r="M25" s="135" t="s">
        <v>1497</v>
      </c>
      <c r="N25" s="135" t="s">
        <v>1344</v>
      </c>
      <c r="O25" s="135" t="s">
        <v>1345</v>
      </c>
      <c r="P25" s="135" t="s">
        <v>1346</v>
      </c>
      <c r="Q25" s="138">
        <v>2853</v>
      </c>
      <c r="R25" s="135">
        <v>2887</v>
      </c>
      <c r="S25" s="135" t="s">
        <v>1347</v>
      </c>
      <c r="T25" s="135">
        <v>0</v>
      </c>
      <c r="U25" s="135">
        <v>0</v>
      </c>
      <c r="V25" s="135">
        <v>0</v>
      </c>
      <c r="W25" s="135">
        <v>0</v>
      </c>
      <c r="X25" s="135" t="s">
        <v>1393</v>
      </c>
      <c r="Y25" s="135" t="s">
        <v>1349</v>
      </c>
      <c r="Z25" s="134" t="s">
        <v>1350</v>
      </c>
      <c r="AA25" s="134"/>
    </row>
    <row r="26" spans="1:27" ht="15">
      <c r="A26" s="141" t="s">
        <v>1387</v>
      </c>
      <c r="B26" s="141">
        <v>8</v>
      </c>
      <c r="C26" s="142">
        <v>1</v>
      </c>
      <c r="D26" s="141" t="s">
        <v>1498</v>
      </c>
      <c r="E26" s="141" t="s">
        <v>1499</v>
      </c>
      <c r="F26" s="141" t="s">
        <v>1500</v>
      </c>
      <c r="G26" s="135">
        <v>20</v>
      </c>
      <c r="H26" s="137" t="s">
        <v>1501</v>
      </c>
      <c r="I26" s="135" t="s">
        <v>1339</v>
      </c>
      <c r="J26" s="137" t="s">
        <v>1340</v>
      </c>
      <c r="K26" s="135" t="s">
        <v>1392</v>
      </c>
      <c r="L26" s="135" t="s">
        <v>1342</v>
      </c>
      <c r="M26" s="135" t="s">
        <v>1497</v>
      </c>
      <c r="N26" s="135" t="s">
        <v>1344</v>
      </c>
      <c r="O26" s="135" t="s">
        <v>1345</v>
      </c>
      <c r="P26" s="135" t="s">
        <v>1346</v>
      </c>
      <c r="Q26" s="138">
        <v>1649</v>
      </c>
      <c r="R26" s="135">
        <v>1651</v>
      </c>
      <c r="S26" s="141" t="s">
        <v>1347</v>
      </c>
      <c r="T26" s="141">
        <v>0</v>
      </c>
      <c r="U26" s="141">
        <v>0</v>
      </c>
      <c r="V26" s="141">
        <v>0</v>
      </c>
      <c r="W26" s="141">
        <v>0</v>
      </c>
      <c r="X26" s="141" t="s">
        <v>1377</v>
      </c>
      <c r="Y26" s="141" t="s">
        <v>1349</v>
      </c>
      <c r="Z26" s="143" t="s">
        <v>1350</v>
      </c>
      <c r="AA26" s="143" t="s">
        <v>1314</v>
      </c>
    </row>
    <row r="27" spans="1:27" ht="15">
      <c r="A27" s="135" t="s">
        <v>1387</v>
      </c>
      <c r="B27" s="135">
        <v>2</v>
      </c>
      <c r="C27" s="136">
        <v>5</v>
      </c>
      <c r="D27" s="135" t="s">
        <v>1502</v>
      </c>
      <c r="E27" s="135" t="s">
        <v>1503</v>
      </c>
      <c r="F27" s="135" t="s">
        <v>1504</v>
      </c>
      <c r="G27" s="135">
        <v>20</v>
      </c>
      <c r="H27" s="137" t="s">
        <v>1505</v>
      </c>
      <c r="I27" s="135" t="s">
        <v>1364</v>
      </c>
      <c r="J27" s="137" t="s">
        <v>1340</v>
      </c>
      <c r="K27" s="135" t="s">
        <v>1392</v>
      </c>
      <c r="L27" s="135" t="s">
        <v>1342</v>
      </c>
      <c r="M27" s="135" t="s">
        <v>1497</v>
      </c>
      <c r="N27" s="135" t="s">
        <v>1344</v>
      </c>
      <c r="O27" s="135" t="s">
        <v>1345</v>
      </c>
      <c r="P27" s="135" t="s">
        <v>1346</v>
      </c>
      <c r="Q27" s="138">
        <v>1425</v>
      </c>
      <c r="R27" s="135">
        <v>1521</v>
      </c>
      <c r="S27" s="135" t="s">
        <v>1366</v>
      </c>
      <c r="T27" s="135" t="s">
        <v>1506</v>
      </c>
      <c r="U27" s="135">
        <v>1</v>
      </c>
      <c r="V27" s="135">
        <v>1470</v>
      </c>
      <c r="W27" s="135">
        <v>1490</v>
      </c>
      <c r="X27" s="135" t="s">
        <v>1443</v>
      </c>
      <c r="Y27" s="135" t="s">
        <v>1507</v>
      </c>
      <c r="Z27" s="134" t="s">
        <v>1350</v>
      </c>
      <c r="AA27" s="134"/>
    </row>
    <row r="28" spans="1:27" ht="15">
      <c r="A28" s="135" t="s">
        <v>1380</v>
      </c>
      <c r="B28" s="135">
        <v>8</v>
      </c>
      <c r="C28" s="136">
        <v>1</v>
      </c>
      <c r="D28" s="135" t="s">
        <v>1508</v>
      </c>
      <c r="E28" s="135" t="s">
        <v>1509</v>
      </c>
      <c r="F28" s="135" t="s">
        <v>1510</v>
      </c>
      <c r="G28" s="135">
        <v>19</v>
      </c>
      <c r="H28" s="137" t="s">
        <v>1511</v>
      </c>
      <c r="I28" s="135" t="s">
        <v>1364</v>
      </c>
      <c r="J28" s="137" t="s">
        <v>1340</v>
      </c>
      <c r="K28" s="135" t="s">
        <v>1385</v>
      </c>
      <c r="L28" s="135" t="s">
        <v>1342</v>
      </c>
      <c r="M28" s="135" t="s">
        <v>1497</v>
      </c>
      <c r="N28" s="135" t="s">
        <v>1344</v>
      </c>
      <c r="O28" s="135" t="s">
        <v>1345</v>
      </c>
      <c r="P28" s="135" t="s">
        <v>1346</v>
      </c>
      <c r="Q28" s="138">
        <v>6303</v>
      </c>
      <c r="R28" s="135">
        <v>6267</v>
      </c>
      <c r="S28" s="135" t="s">
        <v>1366</v>
      </c>
      <c r="T28" s="135" t="s">
        <v>1512</v>
      </c>
      <c r="U28" s="135">
        <v>1</v>
      </c>
      <c r="V28" s="135">
        <v>1270</v>
      </c>
      <c r="W28" s="135">
        <v>1290</v>
      </c>
      <c r="X28" s="135" t="s">
        <v>1377</v>
      </c>
      <c r="Y28" s="135" t="s">
        <v>1369</v>
      </c>
      <c r="Z28" s="134" t="s">
        <v>1350</v>
      </c>
      <c r="AA28" s="134"/>
    </row>
    <row r="29" spans="1:27" ht="15">
      <c r="A29" s="135" t="s">
        <v>1460</v>
      </c>
      <c r="B29" s="135">
        <v>6</v>
      </c>
      <c r="C29" s="136">
        <v>1</v>
      </c>
      <c r="D29" s="135" t="s">
        <v>1513</v>
      </c>
      <c r="E29" s="135" t="s">
        <v>1514</v>
      </c>
      <c r="F29" s="135" t="s">
        <v>1515</v>
      </c>
      <c r="G29" s="135">
        <v>20</v>
      </c>
      <c r="H29" s="137" t="s">
        <v>1516</v>
      </c>
      <c r="I29" s="135" t="s">
        <v>1339</v>
      </c>
      <c r="J29" s="137" t="s">
        <v>1340</v>
      </c>
      <c r="K29" s="135" t="s">
        <v>1464</v>
      </c>
      <c r="L29" s="135" t="s">
        <v>1342</v>
      </c>
      <c r="M29" s="135" t="s">
        <v>1497</v>
      </c>
      <c r="N29" s="135" t="s">
        <v>1344</v>
      </c>
      <c r="O29" s="135" t="s">
        <v>1345</v>
      </c>
      <c r="P29" s="135" t="s">
        <v>1346</v>
      </c>
      <c r="Q29" s="138">
        <v>3362</v>
      </c>
      <c r="R29" s="135">
        <v>3384</v>
      </c>
      <c r="S29" s="135" t="s">
        <v>1347</v>
      </c>
      <c r="T29" s="135">
        <v>0</v>
      </c>
      <c r="U29" s="135">
        <v>0</v>
      </c>
      <c r="V29" s="135">
        <v>0</v>
      </c>
      <c r="W29" s="135">
        <v>0</v>
      </c>
      <c r="X29" s="135" t="s">
        <v>1408</v>
      </c>
      <c r="Y29" s="135" t="s">
        <v>1349</v>
      </c>
      <c r="Z29" s="134" t="s">
        <v>1350</v>
      </c>
      <c r="AA29" s="134"/>
    </row>
    <row r="30" spans="1:27" ht="15">
      <c r="A30" s="139" t="s">
        <v>1370</v>
      </c>
      <c r="B30" s="139">
        <v>6</v>
      </c>
      <c r="C30" s="144">
        <v>1</v>
      </c>
      <c r="D30" s="139" t="s">
        <v>1517</v>
      </c>
      <c r="E30" s="139" t="s">
        <v>1518</v>
      </c>
      <c r="F30" s="139" t="s">
        <v>1314</v>
      </c>
      <c r="G30" s="139">
        <v>19</v>
      </c>
      <c r="H30" s="145" t="s">
        <v>1519</v>
      </c>
      <c r="I30" s="139" t="s">
        <v>1339</v>
      </c>
      <c r="J30" s="145" t="s">
        <v>1340</v>
      </c>
      <c r="K30" s="139" t="s">
        <v>1375</v>
      </c>
      <c r="L30" s="139" t="s">
        <v>1342</v>
      </c>
      <c r="M30" s="139" t="s">
        <v>1497</v>
      </c>
      <c r="N30" s="139" t="s">
        <v>1344</v>
      </c>
      <c r="O30" s="139" t="s">
        <v>1345</v>
      </c>
      <c r="P30" s="139" t="s">
        <v>1346</v>
      </c>
      <c r="Q30" s="139" t="s">
        <v>1520</v>
      </c>
      <c r="R30" s="139">
        <v>6528</v>
      </c>
      <c r="S30" s="139" t="s">
        <v>1347</v>
      </c>
      <c r="T30" s="139">
        <v>0</v>
      </c>
      <c r="U30" s="139">
        <v>0</v>
      </c>
      <c r="V30" s="139">
        <v>0</v>
      </c>
      <c r="W30" s="139">
        <v>0</v>
      </c>
      <c r="X30" s="139" t="s">
        <v>1408</v>
      </c>
      <c r="Y30" s="139" t="s">
        <v>1349</v>
      </c>
      <c r="Z30" s="146" t="s">
        <v>1350</v>
      </c>
      <c r="AA30" s="146" t="s">
        <v>1314</v>
      </c>
    </row>
    <row r="31" spans="1:27" ht="15">
      <c r="A31" s="139" t="s">
        <v>1521</v>
      </c>
      <c r="B31" s="139">
        <v>3</v>
      </c>
      <c r="C31" s="144">
        <v>1</v>
      </c>
      <c r="D31" s="139" t="s">
        <v>1522</v>
      </c>
      <c r="E31" s="139" t="s">
        <v>1523</v>
      </c>
      <c r="F31" s="139" t="s">
        <v>1314</v>
      </c>
      <c r="G31" s="135">
        <v>19</v>
      </c>
      <c r="H31" s="137" t="s">
        <v>1524</v>
      </c>
      <c r="I31" s="135" t="s">
        <v>1364</v>
      </c>
      <c r="J31" s="137" t="s">
        <v>1340</v>
      </c>
      <c r="K31" s="135" t="s">
        <v>1525</v>
      </c>
      <c r="L31" s="135" t="s">
        <v>1342</v>
      </c>
      <c r="M31" s="135" t="s">
        <v>1497</v>
      </c>
      <c r="N31" s="135" t="s">
        <v>1344</v>
      </c>
      <c r="O31" s="135" t="s">
        <v>1345</v>
      </c>
      <c r="P31" s="135" t="s">
        <v>1346</v>
      </c>
      <c r="Q31" s="138">
        <v>9477</v>
      </c>
      <c r="R31" s="135">
        <v>9520</v>
      </c>
      <c r="S31" s="139" t="s">
        <v>1366</v>
      </c>
      <c r="T31" s="139" t="s">
        <v>1481</v>
      </c>
      <c r="U31" s="139">
        <v>2</v>
      </c>
      <c r="V31" s="139">
        <v>1310</v>
      </c>
      <c r="W31" s="139">
        <v>1330</v>
      </c>
      <c r="X31" s="139" t="s">
        <v>1393</v>
      </c>
      <c r="Y31" s="139" t="s">
        <v>1386</v>
      </c>
      <c r="Z31" s="146" t="s">
        <v>1350</v>
      </c>
      <c r="AA31" s="146" t="s">
        <v>1314</v>
      </c>
    </row>
    <row r="32" spans="1:27" ht="15">
      <c r="A32" s="139" t="s">
        <v>1466</v>
      </c>
      <c r="B32" s="139">
        <v>3</v>
      </c>
      <c r="C32" s="144">
        <v>1</v>
      </c>
      <c r="D32" s="139" t="s">
        <v>1526</v>
      </c>
      <c r="E32" s="139" t="s">
        <v>1527</v>
      </c>
      <c r="F32" s="139" t="s">
        <v>1314</v>
      </c>
      <c r="G32" s="139">
        <v>20</v>
      </c>
      <c r="H32" s="145" t="s">
        <v>1528</v>
      </c>
      <c r="I32" s="139" t="s">
        <v>1339</v>
      </c>
      <c r="J32" s="145" t="s">
        <v>1340</v>
      </c>
      <c r="K32" s="139" t="s">
        <v>1470</v>
      </c>
      <c r="L32" s="139" t="s">
        <v>1342</v>
      </c>
      <c r="M32" s="139" t="s">
        <v>1497</v>
      </c>
      <c r="N32" s="139" t="s">
        <v>1344</v>
      </c>
      <c r="O32" s="139" t="s">
        <v>1345</v>
      </c>
      <c r="P32" s="139" t="s">
        <v>1346</v>
      </c>
      <c r="Q32" s="147">
        <v>6184</v>
      </c>
      <c r="R32" s="139">
        <v>6219</v>
      </c>
      <c r="S32" s="139" t="s">
        <v>1347</v>
      </c>
      <c r="T32" s="139">
        <v>0</v>
      </c>
      <c r="U32" s="139">
        <v>0</v>
      </c>
      <c r="V32" s="139">
        <v>0</v>
      </c>
      <c r="W32" s="139">
        <v>0</v>
      </c>
      <c r="X32" s="139" t="s">
        <v>1393</v>
      </c>
      <c r="Y32" s="139" t="s">
        <v>1349</v>
      </c>
      <c r="Z32" s="146" t="s">
        <v>1350</v>
      </c>
      <c r="AA32" s="146" t="s">
        <v>1314</v>
      </c>
    </row>
    <row r="33" spans="1:27" ht="15">
      <c r="A33" s="135" t="s">
        <v>1380</v>
      </c>
      <c r="B33" s="135">
        <v>6</v>
      </c>
      <c r="C33" s="136">
        <v>3</v>
      </c>
      <c r="D33" s="135" t="s">
        <v>1529</v>
      </c>
      <c r="E33" s="135" t="s">
        <v>1530</v>
      </c>
      <c r="F33" s="135" t="s">
        <v>1531</v>
      </c>
      <c r="G33" s="135">
        <v>19</v>
      </c>
      <c r="H33" s="137" t="s">
        <v>1532</v>
      </c>
      <c r="I33" s="135" t="s">
        <v>1339</v>
      </c>
      <c r="J33" s="137" t="s">
        <v>1340</v>
      </c>
      <c r="K33" s="135" t="s">
        <v>1385</v>
      </c>
      <c r="L33" s="135" t="s">
        <v>1342</v>
      </c>
      <c r="M33" s="135" t="s">
        <v>1497</v>
      </c>
      <c r="N33" s="135" t="s">
        <v>1344</v>
      </c>
      <c r="O33" s="135" t="s">
        <v>1345</v>
      </c>
      <c r="P33" s="135" t="s">
        <v>1346</v>
      </c>
      <c r="Q33" s="138">
        <v>6506</v>
      </c>
      <c r="R33" s="135">
        <v>6526</v>
      </c>
      <c r="S33" s="135" t="s">
        <v>1366</v>
      </c>
      <c r="T33" s="135">
        <v>0</v>
      </c>
      <c r="U33" s="135">
        <v>0</v>
      </c>
      <c r="V33" s="135">
        <v>0</v>
      </c>
      <c r="W33" s="135">
        <v>0</v>
      </c>
      <c r="X33" s="135" t="s">
        <v>1408</v>
      </c>
      <c r="Y33" s="135" t="s">
        <v>1416</v>
      </c>
      <c r="Z33" s="134" t="s">
        <v>1350</v>
      </c>
      <c r="AA33" s="134"/>
    </row>
    <row r="34" spans="1:27" ht="15">
      <c r="A34" s="139" t="s">
        <v>1533</v>
      </c>
      <c r="B34" s="139">
        <v>3</v>
      </c>
      <c r="C34" s="144">
        <v>1</v>
      </c>
      <c r="D34" s="139" t="s">
        <v>1534</v>
      </c>
      <c r="E34" s="139" t="s">
        <v>1535</v>
      </c>
      <c r="F34" s="139" t="s">
        <v>1314</v>
      </c>
      <c r="G34" s="139">
        <v>-99</v>
      </c>
      <c r="H34" s="145" t="s">
        <v>1536</v>
      </c>
      <c r="I34" s="139" t="s">
        <v>1339</v>
      </c>
      <c r="J34" s="145" t="s">
        <v>1340</v>
      </c>
      <c r="K34" s="139" t="s">
        <v>1537</v>
      </c>
      <c r="L34" s="139" t="s">
        <v>1342</v>
      </c>
      <c r="M34" s="139" t="s">
        <v>1497</v>
      </c>
      <c r="N34" s="139" t="s">
        <v>1344</v>
      </c>
      <c r="O34" s="139" t="s">
        <v>1345</v>
      </c>
      <c r="P34" s="139" t="s">
        <v>1346</v>
      </c>
      <c r="Q34" s="139">
        <v>462</v>
      </c>
      <c r="R34" s="139">
        <v>477</v>
      </c>
      <c r="S34" s="139" t="s">
        <v>1347</v>
      </c>
      <c r="T34" s="139">
        <v>0</v>
      </c>
      <c r="U34" s="139">
        <v>0</v>
      </c>
      <c r="V34" s="139">
        <v>0</v>
      </c>
      <c r="W34" s="139">
        <v>0</v>
      </c>
      <c r="X34" s="139" t="s">
        <v>1393</v>
      </c>
      <c r="Y34" s="139" t="s">
        <v>1349</v>
      </c>
      <c r="Z34" s="146" t="s">
        <v>1350</v>
      </c>
      <c r="AA34" s="146" t="s">
        <v>1314</v>
      </c>
    </row>
    <row r="35" spans="1:27" ht="15">
      <c r="A35" s="135" t="s">
        <v>1466</v>
      </c>
      <c r="B35" s="135">
        <v>1</v>
      </c>
      <c r="C35" s="136">
        <v>1</v>
      </c>
      <c r="D35" s="135" t="s">
        <v>1538</v>
      </c>
      <c r="E35" s="135" t="s">
        <v>1539</v>
      </c>
      <c r="F35" s="135" t="s">
        <v>1540</v>
      </c>
      <c r="G35" s="135">
        <v>20</v>
      </c>
      <c r="H35" s="137" t="s">
        <v>1541</v>
      </c>
      <c r="I35" s="135" t="s">
        <v>1339</v>
      </c>
      <c r="J35" s="137" t="s">
        <v>1340</v>
      </c>
      <c r="K35" s="135" t="s">
        <v>1470</v>
      </c>
      <c r="L35" s="135" t="s">
        <v>1342</v>
      </c>
      <c r="M35" s="135" t="s">
        <v>1497</v>
      </c>
      <c r="N35" s="135" t="s">
        <v>1344</v>
      </c>
      <c r="O35" s="135" t="s">
        <v>1345</v>
      </c>
      <c r="P35" s="135" t="s">
        <v>1346</v>
      </c>
      <c r="Q35" s="138">
        <v>5276</v>
      </c>
      <c r="R35" s="135">
        <v>5795</v>
      </c>
      <c r="S35" s="135" t="s">
        <v>1339</v>
      </c>
      <c r="T35" s="135">
        <v>0</v>
      </c>
      <c r="U35" s="135">
        <v>0</v>
      </c>
      <c r="V35" s="135">
        <v>0</v>
      </c>
      <c r="W35" s="135">
        <v>0</v>
      </c>
      <c r="X35" s="135" t="s">
        <v>1386</v>
      </c>
      <c r="Y35" s="135" t="s">
        <v>1349</v>
      </c>
      <c r="Z35" s="134" t="s">
        <v>1350</v>
      </c>
      <c r="AA35" s="134"/>
    </row>
    <row r="36" spans="1:27" ht="15">
      <c r="A36" s="135" t="s">
        <v>1351</v>
      </c>
      <c r="B36" s="135">
        <v>1</v>
      </c>
      <c r="C36" s="136">
        <v>5</v>
      </c>
      <c r="D36" s="135" t="s">
        <v>1542</v>
      </c>
      <c r="E36" s="135" t="s">
        <v>1543</v>
      </c>
      <c r="F36" s="135" t="s">
        <v>1544</v>
      </c>
      <c r="G36" s="135">
        <v>20</v>
      </c>
      <c r="H36" s="137" t="s">
        <v>1545</v>
      </c>
      <c r="I36" s="135" t="s">
        <v>1339</v>
      </c>
      <c r="J36" s="137" t="s">
        <v>1340</v>
      </c>
      <c r="K36" s="135" t="s">
        <v>1356</v>
      </c>
      <c r="L36" s="135" t="s">
        <v>1342</v>
      </c>
      <c r="M36" s="135" t="s">
        <v>1497</v>
      </c>
      <c r="N36" s="135" t="s">
        <v>1344</v>
      </c>
      <c r="O36" s="135" t="s">
        <v>1345</v>
      </c>
      <c r="P36" s="135" t="s">
        <v>1346</v>
      </c>
      <c r="Q36" s="138">
        <v>3222</v>
      </c>
      <c r="R36" s="135">
        <v>3250</v>
      </c>
      <c r="S36" s="135" t="s">
        <v>1347</v>
      </c>
      <c r="T36" s="135">
        <v>0</v>
      </c>
      <c r="U36" s="135">
        <v>0</v>
      </c>
      <c r="V36" s="135">
        <v>0</v>
      </c>
      <c r="W36" s="135">
        <v>0</v>
      </c>
      <c r="X36" s="135" t="s">
        <v>1386</v>
      </c>
      <c r="Y36" s="135" t="s">
        <v>1546</v>
      </c>
      <c r="Z36" s="134" t="s">
        <v>1350</v>
      </c>
      <c r="AA36" s="134"/>
    </row>
    <row r="37" spans="1:27" ht="15">
      <c r="A37" s="135" t="s">
        <v>1351</v>
      </c>
      <c r="B37" s="135">
        <v>1</v>
      </c>
      <c r="C37" s="136">
        <v>3</v>
      </c>
      <c r="D37" s="135" t="s">
        <v>1547</v>
      </c>
      <c r="E37" s="135" t="s">
        <v>1548</v>
      </c>
      <c r="F37" s="135" t="s">
        <v>1549</v>
      </c>
      <c r="G37" s="135">
        <v>20</v>
      </c>
      <c r="H37" s="137" t="s">
        <v>1550</v>
      </c>
      <c r="I37" s="135" t="s">
        <v>1339</v>
      </c>
      <c r="J37" s="137" t="s">
        <v>1340</v>
      </c>
      <c r="K37" s="135" t="s">
        <v>1356</v>
      </c>
      <c r="L37" s="135" t="s">
        <v>1342</v>
      </c>
      <c r="M37" s="135" t="s">
        <v>1497</v>
      </c>
      <c r="N37" s="135" t="s">
        <v>1344</v>
      </c>
      <c r="O37" s="135" t="s">
        <v>1345</v>
      </c>
      <c r="P37" s="135" t="s">
        <v>1346</v>
      </c>
      <c r="Q37" s="138">
        <v>3628</v>
      </c>
      <c r="R37" s="135">
        <v>3677</v>
      </c>
      <c r="S37" s="135" t="s">
        <v>1347</v>
      </c>
      <c r="T37" s="135">
        <v>0</v>
      </c>
      <c r="U37" s="135">
        <v>0</v>
      </c>
      <c r="V37" s="135">
        <v>0</v>
      </c>
      <c r="W37" s="135">
        <v>0</v>
      </c>
      <c r="X37" s="135" t="s">
        <v>1386</v>
      </c>
      <c r="Y37" s="135" t="s">
        <v>1416</v>
      </c>
      <c r="Z37" s="134" t="s">
        <v>1350</v>
      </c>
      <c r="AA37" s="134"/>
    </row>
    <row r="38" spans="1:27" ht="15">
      <c r="A38" s="135" t="s">
        <v>1387</v>
      </c>
      <c r="B38" s="135">
        <v>2</v>
      </c>
      <c r="C38" s="136">
        <v>5</v>
      </c>
      <c r="D38" s="135" t="s">
        <v>1551</v>
      </c>
      <c r="E38" s="135" t="s">
        <v>1552</v>
      </c>
      <c r="F38" s="135" t="s">
        <v>1553</v>
      </c>
      <c r="G38" s="135">
        <v>20</v>
      </c>
      <c r="H38" s="137" t="s">
        <v>1554</v>
      </c>
      <c r="I38" s="135" t="s">
        <v>1364</v>
      </c>
      <c r="J38" s="137" t="s">
        <v>1340</v>
      </c>
      <c r="K38" s="135" t="s">
        <v>1392</v>
      </c>
      <c r="L38" s="135" t="s">
        <v>1342</v>
      </c>
      <c r="M38" s="135" t="s">
        <v>1497</v>
      </c>
      <c r="N38" s="135" t="s">
        <v>1344</v>
      </c>
      <c r="O38" s="135" t="s">
        <v>1345</v>
      </c>
      <c r="P38" s="135" t="s">
        <v>1346</v>
      </c>
      <c r="Q38" s="138">
        <v>1425</v>
      </c>
      <c r="R38" s="135">
        <v>1589</v>
      </c>
      <c r="S38" s="135" t="s">
        <v>1366</v>
      </c>
      <c r="T38" s="135" t="s">
        <v>1506</v>
      </c>
      <c r="U38" s="135">
        <v>2</v>
      </c>
      <c r="V38" s="135">
        <v>1270</v>
      </c>
      <c r="W38" s="135">
        <v>1290</v>
      </c>
      <c r="X38" s="135" t="s">
        <v>1443</v>
      </c>
      <c r="Y38" s="135" t="s">
        <v>1507</v>
      </c>
      <c r="Z38" s="134" t="s">
        <v>1350</v>
      </c>
      <c r="AA38" s="134"/>
    </row>
    <row r="39" spans="1:27" ht="15">
      <c r="A39" s="135" t="s">
        <v>1387</v>
      </c>
      <c r="B39" s="135">
        <v>2</v>
      </c>
      <c r="C39" s="136">
        <v>5</v>
      </c>
      <c r="D39" s="135" t="s">
        <v>1555</v>
      </c>
      <c r="E39" s="135" t="s">
        <v>1556</v>
      </c>
      <c r="F39" s="135" t="s">
        <v>1557</v>
      </c>
      <c r="G39" s="135">
        <v>20</v>
      </c>
      <c r="H39" s="137" t="s">
        <v>1554</v>
      </c>
      <c r="I39" s="135" t="s">
        <v>1364</v>
      </c>
      <c r="J39" s="137" t="s">
        <v>1340</v>
      </c>
      <c r="K39" s="135" t="s">
        <v>1392</v>
      </c>
      <c r="L39" s="135" t="s">
        <v>1342</v>
      </c>
      <c r="M39" s="135" t="s">
        <v>1497</v>
      </c>
      <c r="N39" s="135" t="s">
        <v>1344</v>
      </c>
      <c r="O39" s="135" t="s">
        <v>1345</v>
      </c>
      <c r="P39" s="135" t="s">
        <v>1346</v>
      </c>
      <c r="Q39" s="138">
        <v>1425</v>
      </c>
      <c r="R39" s="135">
        <v>1572</v>
      </c>
      <c r="S39" s="135" t="s">
        <v>1366</v>
      </c>
      <c r="T39" s="135" t="s">
        <v>1506</v>
      </c>
      <c r="U39" s="135">
        <v>3</v>
      </c>
      <c r="V39" s="135">
        <v>1310</v>
      </c>
      <c r="W39" s="135">
        <v>1330</v>
      </c>
      <c r="X39" s="135" t="s">
        <v>1443</v>
      </c>
      <c r="Y39" s="135" t="s">
        <v>1507</v>
      </c>
      <c r="Z39" s="134" t="s">
        <v>1350</v>
      </c>
      <c r="AA39" s="134"/>
    </row>
    <row r="40" spans="1:27" ht="15">
      <c r="A40" s="135" t="s">
        <v>1395</v>
      </c>
      <c r="B40" s="135">
        <v>3</v>
      </c>
      <c r="C40" s="136">
        <v>1</v>
      </c>
      <c r="D40" s="135" t="s">
        <v>1558</v>
      </c>
      <c r="E40" s="135" t="s">
        <v>1559</v>
      </c>
      <c r="F40" s="135" t="s">
        <v>1560</v>
      </c>
      <c r="G40" s="135">
        <v>20</v>
      </c>
      <c r="H40" s="135">
        <v>-992.45799999999997</v>
      </c>
      <c r="I40" s="135" t="s">
        <v>1339</v>
      </c>
      <c r="J40" s="137" t="s">
        <v>1340</v>
      </c>
      <c r="K40" s="135" t="s">
        <v>1399</v>
      </c>
      <c r="L40" s="135" t="s">
        <v>1342</v>
      </c>
      <c r="M40" s="135" t="s">
        <v>1497</v>
      </c>
      <c r="N40" s="135" t="s">
        <v>1344</v>
      </c>
      <c r="O40" s="135" t="s">
        <v>1345</v>
      </c>
      <c r="P40" s="135" t="s">
        <v>1346</v>
      </c>
      <c r="Q40" s="138">
        <v>2782</v>
      </c>
      <c r="R40" s="135">
        <v>2837</v>
      </c>
      <c r="S40" s="135" t="s">
        <v>1347</v>
      </c>
      <c r="T40" s="135">
        <v>0</v>
      </c>
      <c r="U40" s="135">
        <v>0</v>
      </c>
      <c r="V40" s="135">
        <v>0</v>
      </c>
      <c r="W40" s="135">
        <v>0</v>
      </c>
      <c r="X40" s="135" t="s">
        <v>1393</v>
      </c>
      <c r="Y40" s="135" t="s">
        <v>1349</v>
      </c>
      <c r="Z40" s="134" t="s">
        <v>1350</v>
      </c>
      <c r="AA40" s="134"/>
    </row>
    <row r="41" spans="1:27" ht="15">
      <c r="A41" s="135" t="s">
        <v>1561</v>
      </c>
      <c r="B41" s="135">
        <v>8</v>
      </c>
      <c r="C41" s="136">
        <v>1</v>
      </c>
      <c r="D41" s="135" t="s">
        <v>1562</v>
      </c>
      <c r="E41" s="135" t="s">
        <v>1563</v>
      </c>
      <c r="F41" s="135" t="s">
        <v>1564</v>
      </c>
      <c r="G41" s="135">
        <v>20</v>
      </c>
      <c r="H41" s="137" t="s">
        <v>1565</v>
      </c>
      <c r="I41" s="135" t="s">
        <v>1339</v>
      </c>
      <c r="J41" s="137" t="s">
        <v>1340</v>
      </c>
      <c r="K41" s="135" t="s">
        <v>1566</v>
      </c>
      <c r="L41" s="135" t="s">
        <v>1342</v>
      </c>
      <c r="M41" s="135" t="s">
        <v>1497</v>
      </c>
      <c r="N41" s="135" t="s">
        <v>1344</v>
      </c>
      <c r="O41" s="135" t="s">
        <v>1345</v>
      </c>
      <c r="P41" s="135" t="s">
        <v>1346</v>
      </c>
      <c r="Q41" s="138">
        <v>2334</v>
      </c>
      <c r="R41" s="135">
        <v>2343</v>
      </c>
      <c r="S41" s="135" t="s">
        <v>1347</v>
      </c>
      <c r="T41" s="135">
        <v>0</v>
      </c>
      <c r="U41" s="135">
        <v>0</v>
      </c>
      <c r="V41" s="135">
        <v>0</v>
      </c>
      <c r="W41" s="135">
        <v>0</v>
      </c>
      <c r="X41" s="135" t="s">
        <v>1377</v>
      </c>
      <c r="Y41" s="135" t="s">
        <v>1349</v>
      </c>
      <c r="Z41" s="134" t="s">
        <v>1350</v>
      </c>
      <c r="AA41" s="134"/>
    </row>
    <row r="42" spans="1:27" ht="15">
      <c r="A42" s="135" t="s">
        <v>1561</v>
      </c>
      <c r="B42" s="135">
        <v>1</v>
      </c>
      <c r="C42" s="136">
        <v>1</v>
      </c>
      <c r="D42" s="135" t="s">
        <v>1567</v>
      </c>
      <c r="E42" s="135" t="s">
        <v>1568</v>
      </c>
      <c r="F42" s="135" t="s">
        <v>1569</v>
      </c>
      <c r="G42" s="135">
        <v>20</v>
      </c>
      <c r="H42" s="137" t="s">
        <v>1570</v>
      </c>
      <c r="I42" s="135" t="s">
        <v>1339</v>
      </c>
      <c r="J42" s="137" t="s">
        <v>1340</v>
      </c>
      <c r="K42" s="135" t="s">
        <v>1566</v>
      </c>
      <c r="L42" s="135" t="s">
        <v>1342</v>
      </c>
      <c r="M42" s="135" t="s">
        <v>1497</v>
      </c>
      <c r="N42" s="135" t="s">
        <v>1344</v>
      </c>
      <c r="O42" s="135" t="s">
        <v>1345</v>
      </c>
      <c r="P42" s="135" t="s">
        <v>1346</v>
      </c>
      <c r="Q42" s="138">
        <v>4834</v>
      </c>
      <c r="R42" s="135">
        <v>4839</v>
      </c>
      <c r="S42" s="135" t="s">
        <v>1347</v>
      </c>
      <c r="T42" s="135">
        <v>0</v>
      </c>
      <c r="U42" s="135">
        <v>0</v>
      </c>
      <c r="V42" s="135">
        <v>0</v>
      </c>
      <c r="W42" s="135">
        <v>0</v>
      </c>
      <c r="X42" s="135" t="s">
        <v>1386</v>
      </c>
      <c r="Y42" s="135" t="s">
        <v>1349</v>
      </c>
      <c r="Z42" s="134" t="s">
        <v>1350</v>
      </c>
      <c r="AA42" s="134"/>
    </row>
    <row r="43" spans="1:27" ht="15">
      <c r="A43" s="135" t="s">
        <v>1561</v>
      </c>
      <c r="B43" s="135">
        <v>1</v>
      </c>
      <c r="C43" s="136">
        <v>3</v>
      </c>
      <c r="D43" s="135" t="s">
        <v>1571</v>
      </c>
      <c r="E43" s="135" t="s">
        <v>1572</v>
      </c>
      <c r="F43" s="135" t="s">
        <v>1573</v>
      </c>
      <c r="G43" s="135">
        <v>20</v>
      </c>
      <c r="H43" s="137" t="s">
        <v>1574</v>
      </c>
      <c r="I43" s="135" t="s">
        <v>1339</v>
      </c>
      <c r="J43" s="137" t="s">
        <v>1340</v>
      </c>
      <c r="K43" s="135" t="s">
        <v>1566</v>
      </c>
      <c r="L43" s="135" t="s">
        <v>1342</v>
      </c>
      <c r="M43" s="135" t="s">
        <v>1497</v>
      </c>
      <c r="N43" s="135" t="s">
        <v>1344</v>
      </c>
      <c r="O43" s="135" t="s">
        <v>1345</v>
      </c>
      <c r="P43" s="135" t="s">
        <v>1346</v>
      </c>
      <c r="Q43" s="138">
        <v>5406</v>
      </c>
      <c r="R43" s="135">
        <v>5500</v>
      </c>
      <c r="S43" s="135" t="s">
        <v>1347</v>
      </c>
      <c r="T43" s="135">
        <v>0</v>
      </c>
      <c r="U43" s="135">
        <v>0</v>
      </c>
      <c r="V43" s="135">
        <v>0</v>
      </c>
      <c r="W43" s="135">
        <v>0</v>
      </c>
      <c r="X43" s="135" t="s">
        <v>1386</v>
      </c>
      <c r="Y43" s="135" t="s">
        <v>1416</v>
      </c>
      <c r="Z43" s="134" t="s">
        <v>1350</v>
      </c>
      <c r="AA43" s="134"/>
    </row>
    <row r="44" spans="1:27" ht="15">
      <c r="A44" s="139" t="s">
        <v>1575</v>
      </c>
      <c r="B44" s="139">
        <v>6</v>
      </c>
      <c r="C44" s="144">
        <v>1</v>
      </c>
      <c r="D44" s="139" t="s">
        <v>1576</v>
      </c>
      <c r="E44" s="139" t="s">
        <v>1577</v>
      </c>
      <c r="F44" s="139" t="s">
        <v>1314</v>
      </c>
      <c r="G44" s="135">
        <v>19</v>
      </c>
      <c r="H44" s="137" t="s">
        <v>1578</v>
      </c>
      <c r="I44" s="135" t="s">
        <v>1339</v>
      </c>
      <c r="J44" s="137" t="s">
        <v>1340</v>
      </c>
      <c r="K44" s="135" t="s">
        <v>1579</v>
      </c>
      <c r="L44" s="135" t="s">
        <v>1342</v>
      </c>
      <c r="M44" s="135" t="s">
        <v>1497</v>
      </c>
      <c r="N44" s="135" t="s">
        <v>1344</v>
      </c>
      <c r="O44" s="135" t="s">
        <v>1345</v>
      </c>
      <c r="P44" s="135" t="s">
        <v>1346</v>
      </c>
      <c r="Q44" s="138">
        <v>4658</v>
      </c>
      <c r="R44" s="135">
        <v>4906</v>
      </c>
      <c r="S44" s="139" t="s">
        <v>1347</v>
      </c>
      <c r="T44" s="139">
        <v>0</v>
      </c>
      <c r="U44" s="139">
        <v>0</v>
      </c>
      <c r="V44" s="139">
        <v>0</v>
      </c>
      <c r="W44" s="139">
        <v>0</v>
      </c>
      <c r="X44" s="139" t="s">
        <v>1408</v>
      </c>
      <c r="Y44" s="139" t="s">
        <v>1580</v>
      </c>
      <c r="Z44" s="146" t="s">
        <v>1350</v>
      </c>
      <c r="AA44" s="146" t="s">
        <v>1314</v>
      </c>
    </row>
    <row r="45" spans="1:27" ht="15">
      <c r="A45" s="135" t="s">
        <v>1380</v>
      </c>
      <c r="B45" s="135">
        <v>3</v>
      </c>
      <c r="C45" s="136">
        <v>1</v>
      </c>
      <c r="D45" s="135" t="s">
        <v>1581</v>
      </c>
      <c r="E45" s="135" t="s">
        <v>1582</v>
      </c>
      <c r="F45" s="135" t="s">
        <v>1583</v>
      </c>
      <c r="G45" s="135">
        <v>19</v>
      </c>
      <c r="H45" s="137" t="s">
        <v>1584</v>
      </c>
      <c r="I45" s="135" t="s">
        <v>1339</v>
      </c>
      <c r="J45" s="137" t="s">
        <v>1340</v>
      </c>
      <c r="K45" s="135" t="s">
        <v>1385</v>
      </c>
      <c r="L45" s="135" t="s">
        <v>1342</v>
      </c>
      <c r="M45" s="135" t="s">
        <v>1497</v>
      </c>
      <c r="N45" s="135" t="s">
        <v>1344</v>
      </c>
      <c r="O45" s="135" t="s">
        <v>1345</v>
      </c>
      <c r="P45" s="135" t="s">
        <v>1346</v>
      </c>
      <c r="Q45" s="135" t="s">
        <v>1585</v>
      </c>
      <c r="R45" s="135">
        <v>5320</v>
      </c>
      <c r="S45" s="135" t="s">
        <v>1347</v>
      </c>
      <c r="T45" s="135">
        <v>0</v>
      </c>
      <c r="U45" s="135">
        <v>0</v>
      </c>
      <c r="V45" s="135">
        <v>0</v>
      </c>
      <c r="W45" s="135">
        <v>0</v>
      </c>
      <c r="X45" s="135" t="s">
        <v>1393</v>
      </c>
      <c r="Y45" s="135" t="s">
        <v>1349</v>
      </c>
      <c r="Z45" s="134" t="s">
        <v>1350</v>
      </c>
      <c r="AA45" s="134"/>
    </row>
    <row r="46" spans="1:27" ht="15">
      <c r="A46" s="135" t="s">
        <v>1387</v>
      </c>
      <c r="B46" s="135">
        <v>8</v>
      </c>
      <c r="C46" s="136">
        <v>3</v>
      </c>
      <c r="D46" s="135" t="s">
        <v>1586</v>
      </c>
      <c r="E46" s="135" t="s">
        <v>1587</v>
      </c>
      <c r="F46" s="135" t="s">
        <v>1588</v>
      </c>
      <c r="G46" s="135">
        <v>20</v>
      </c>
      <c r="H46" s="137" t="s">
        <v>1589</v>
      </c>
      <c r="I46" s="135" t="s">
        <v>1339</v>
      </c>
      <c r="J46" s="137" t="s">
        <v>1340</v>
      </c>
      <c r="K46" s="135" t="s">
        <v>1392</v>
      </c>
      <c r="L46" s="135" t="s">
        <v>1342</v>
      </c>
      <c r="M46" s="135" t="s">
        <v>1497</v>
      </c>
      <c r="N46" s="135" t="s">
        <v>1344</v>
      </c>
      <c r="O46" s="135" t="s">
        <v>1590</v>
      </c>
      <c r="P46" s="135" t="s">
        <v>1346</v>
      </c>
      <c r="Q46" s="138">
        <v>1651</v>
      </c>
      <c r="R46" s="135">
        <v>1903</v>
      </c>
      <c r="S46" s="135" t="s">
        <v>1347</v>
      </c>
      <c r="T46" s="135">
        <v>0</v>
      </c>
      <c r="U46" s="135">
        <v>0</v>
      </c>
      <c r="V46" s="135">
        <v>0</v>
      </c>
      <c r="W46" s="135">
        <v>0</v>
      </c>
      <c r="X46" s="135" t="s">
        <v>1377</v>
      </c>
      <c r="Y46" s="135" t="s">
        <v>1416</v>
      </c>
      <c r="Z46" s="134" t="s">
        <v>1350</v>
      </c>
      <c r="AA46" s="134"/>
    </row>
    <row r="47" spans="1:27" ht="15">
      <c r="A47" s="135" t="s">
        <v>1401</v>
      </c>
      <c r="B47" s="135">
        <v>5</v>
      </c>
      <c r="C47" s="136">
        <v>1</v>
      </c>
      <c r="D47" s="135" t="s">
        <v>1591</v>
      </c>
      <c r="E47" s="135" t="s">
        <v>1592</v>
      </c>
      <c r="F47" s="135"/>
      <c r="G47" s="135">
        <v>19</v>
      </c>
      <c r="H47" s="137" t="s">
        <v>1593</v>
      </c>
      <c r="I47" s="135" t="s">
        <v>1364</v>
      </c>
      <c r="J47" s="137" t="s">
        <v>1340</v>
      </c>
      <c r="K47" s="135" t="s">
        <v>1405</v>
      </c>
      <c r="L47" s="135" t="s">
        <v>1342</v>
      </c>
      <c r="M47" s="135" t="s">
        <v>1497</v>
      </c>
      <c r="N47" s="135" t="s">
        <v>1344</v>
      </c>
      <c r="O47" s="135" t="s">
        <v>1590</v>
      </c>
      <c r="P47" s="135" t="s">
        <v>1346</v>
      </c>
      <c r="Q47" s="138">
        <v>8715</v>
      </c>
      <c r="R47" s="135">
        <v>9156</v>
      </c>
      <c r="S47" s="135" t="s">
        <v>1366</v>
      </c>
      <c r="T47" s="135" t="s">
        <v>1448</v>
      </c>
      <c r="U47" s="135">
        <v>1</v>
      </c>
      <c r="V47" s="135">
        <v>1270</v>
      </c>
      <c r="W47" s="135">
        <v>1290</v>
      </c>
      <c r="X47" s="135" t="s">
        <v>1348</v>
      </c>
      <c r="Y47" s="135" t="s">
        <v>1369</v>
      </c>
      <c r="Z47" s="134" t="s">
        <v>1350</v>
      </c>
      <c r="AA47" s="162" t="s">
        <v>60</v>
      </c>
    </row>
    <row r="48" spans="1:27" ht="15">
      <c r="A48" s="135" t="s">
        <v>1401</v>
      </c>
      <c r="B48" s="135">
        <v>5</v>
      </c>
      <c r="C48" s="136">
        <v>1</v>
      </c>
      <c r="D48" s="135" t="s">
        <v>1594</v>
      </c>
      <c r="E48" s="135" t="s">
        <v>1595</v>
      </c>
      <c r="F48" s="135"/>
      <c r="G48" s="135">
        <v>19</v>
      </c>
      <c r="H48" s="137" t="s">
        <v>1596</v>
      </c>
      <c r="I48" s="135" t="s">
        <v>1364</v>
      </c>
      <c r="J48" s="137" t="s">
        <v>1340</v>
      </c>
      <c r="K48" s="135" t="s">
        <v>1405</v>
      </c>
      <c r="L48" s="135" t="s">
        <v>1342</v>
      </c>
      <c r="M48" s="135" t="s">
        <v>1497</v>
      </c>
      <c r="N48" s="135" t="s">
        <v>1344</v>
      </c>
      <c r="O48" s="135" t="s">
        <v>1590</v>
      </c>
      <c r="P48" s="135" t="s">
        <v>1346</v>
      </c>
      <c r="Q48" s="138">
        <v>8715</v>
      </c>
      <c r="R48" s="135">
        <v>8866</v>
      </c>
      <c r="S48" s="135" t="s">
        <v>1366</v>
      </c>
      <c r="T48" s="135" t="s">
        <v>1448</v>
      </c>
      <c r="U48" s="135">
        <v>2</v>
      </c>
      <c r="V48" s="135">
        <v>1310</v>
      </c>
      <c r="W48" s="135">
        <v>1330</v>
      </c>
      <c r="X48" s="135" t="s">
        <v>1348</v>
      </c>
      <c r="Y48" s="135" t="s">
        <v>1369</v>
      </c>
      <c r="Z48" s="134" t="s">
        <v>1350</v>
      </c>
      <c r="AA48" s="162" t="s">
        <v>60</v>
      </c>
    </row>
    <row r="49" spans="1:27" ht="15" hidden="1">
      <c r="A49" s="135" t="s">
        <v>1597</v>
      </c>
      <c r="B49" s="135">
        <v>4</v>
      </c>
      <c r="C49" s="136">
        <v>1</v>
      </c>
      <c r="D49" s="135" t="s">
        <v>1598</v>
      </c>
      <c r="E49" s="135" t="s">
        <v>1599</v>
      </c>
      <c r="F49" s="135"/>
      <c r="G49" s="135">
        <v>19</v>
      </c>
      <c r="H49" s="137" t="s">
        <v>1600</v>
      </c>
      <c r="I49" s="135" t="s">
        <v>1364</v>
      </c>
      <c r="J49" s="137" t="s">
        <v>1340</v>
      </c>
      <c r="K49" s="135" t="s">
        <v>1601</v>
      </c>
      <c r="L49" s="135" t="s">
        <v>1342</v>
      </c>
      <c r="M49" s="135" t="s">
        <v>1602</v>
      </c>
      <c r="N49" s="135" t="s">
        <v>1344</v>
      </c>
      <c r="O49" s="135" t="s">
        <v>1345</v>
      </c>
      <c r="P49" s="135" t="s">
        <v>1346</v>
      </c>
      <c r="Q49" s="138">
        <v>5968</v>
      </c>
      <c r="R49" s="135">
        <v>6333</v>
      </c>
      <c r="S49" s="135" t="s">
        <v>1366</v>
      </c>
      <c r="T49" s="135" t="s">
        <v>1367</v>
      </c>
      <c r="U49" s="135">
        <v>3</v>
      </c>
      <c r="V49" s="135">
        <v>1350</v>
      </c>
      <c r="W49" s="135">
        <v>1370</v>
      </c>
      <c r="X49" s="135" t="s">
        <v>1368</v>
      </c>
      <c r="Y49" s="135" t="s">
        <v>1369</v>
      </c>
      <c r="Z49" s="134" t="s">
        <v>1350</v>
      </c>
      <c r="AA49" s="134"/>
    </row>
    <row r="50" spans="1:27" ht="15" hidden="1">
      <c r="A50" s="135" t="s">
        <v>1533</v>
      </c>
      <c r="B50" s="135">
        <v>2</v>
      </c>
      <c r="C50" s="136">
        <v>1</v>
      </c>
      <c r="D50" s="135" t="s">
        <v>1603</v>
      </c>
      <c r="E50" s="135" t="s">
        <v>1604</v>
      </c>
      <c r="F50" s="135"/>
      <c r="G50" s="135">
        <v>19</v>
      </c>
      <c r="H50" s="137" t="s">
        <v>1605</v>
      </c>
      <c r="I50" s="135" t="s">
        <v>1364</v>
      </c>
      <c r="J50" s="137" t="s">
        <v>1340</v>
      </c>
      <c r="K50" s="135" t="s">
        <v>1537</v>
      </c>
      <c r="L50" s="135" t="s">
        <v>1342</v>
      </c>
      <c r="M50" s="135" t="s">
        <v>1602</v>
      </c>
      <c r="N50" s="135" t="s">
        <v>1344</v>
      </c>
      <c r="O50" s="135" t="s">
        <v>1345</v>
      </c>
      <c r="P50" s="135" t="s">
        <v>1346</v>
      </c>
      <c r="Q50" s="138">
        <v>3692</v>
      </c>
      <c r="R50" s="135">
        <v>3937</v>
      </c>
      <c r="S50" s="135" t="s">
        <v>1366</v>
      </c>
      <c r="T50" s="135" t="s">
        <v>1606</v>
      </c>
      <c r="U50" s="135">
        <v>1</v>
      </c>
      <c r="V50" s="135">
        <v>1270</v>
      </c>
      <c r="W50" s="135">
        <v>1290</v>
      </c>
      <c r="X50" s="135" t="s">
        <v>1443</v>
      </c>
      <c r="Y50" s="135" t="s">
        <v>1369</v>
      </c>
      <c r="Z50" s="134" t="s">
        <v>1350</v>
      </c>
      <c r="AA50" s="134"/>
    </row>
    <row r="51" spans="1:27" ht="15" hidden="1">
      <c r="A51" s="135" t="s">
        <v>1607</v>
      </c>
      <c r="B51" s="135">
        <v>1</v>
      </c>
      <c r="C51" s="136">
        <v>1</v>
      </c>
      <c r="D51" s="135" t="s">
        <v>1608</v>
      </c>
      <c r="E51" s="135" t="s">
        <v>1609</v>
      </c>
      <c r="F51" s="135"/>
      <c r="G51" s="135">
        <v>19</v>
      </c>
      <c r="H51" s="135"/>
      <c r="I51" s="135" t="s">
        <v>1364</v>
      </c>
      <c r="J51" s="137" t="s">
        <v>1340</v>
      </c>
      <c r="K51" s="135" t="s">
        <v>1610</v>
      </c>
      <c r="L51" s="135" t="s">
        <v>1342</v>
      </c>
      <c r="M51" s="135" t="s">
        <v>1602</v>
      </c>
      <c r="N51" s="135" t="s">
        <v>1344</v>
      </c>
      <c r="O51" s="135" t="s">
        <v>1345</v>
      </c>
      <c r="P51" s="135" t="s">
        <v>1346</v>
      </c>
      <c r="Q51" s="138">
        <v>2444</v>
      </c>
      <c r="R51" s="135">
        <v>2587</v>
      </c>
      <c r="S51" s="135" t="s">
        <v>1366</v>
      </c>
      <c r="T51" s="135" t="s">
        <v>1611</v>
      </c>
      <c r="U51" s="135">
        <v>3</v>
      </c>
      <c r="V51" s="135">
        <v>1350</v>
      </c>
      <c r="W51" s="135">
        <v>1370</v>
      </c>
      <c r="X51" s="135" t="s">
        <v>1386</v>
      </c>
      <c r="Y51" s="135" t="s">
        <v>1369</v>
      </c>
      <c r="Z51" s="134" t="s">
        <v>1350</v>
      </c>
      <c r="AA51" s="134"/>
    </row>
    <row r="52" spans="1:27" ht="15" hidden="1">
      <c r="A52" s="135" t="s">
        <v>1335</v>
      </c>
      <c r="B52" s="135">
        <v>2</v>
      </c>
      <c r="C52" s="136">
        <v>1</v>
      </c>
      <c r="D52" s="135" t="s">
        <v>1612</v>
      </c>
      <c r="E52" s="135" t="s">
        <v>1613</v>
      </c>
      <c r="F52" s="135"/>
      <c r="G52" s="135">
        <v>19</v>
      </c>
      <c r="H52" s="137" t="s">
        <v>1614</v>
      </c>
      <c r="I52" s="135" t="s">
        <v>1364</v>
      </c>
      <c r="J52" s="137" t="s">
        <v>1340</v>
      </c>
      <c r="K52" s="135" t="s">
        <v>1341</v>
      </c>
      <c r="L52" s="135" t="s">
        <v>1342</v>
      </c>
      <c r="M52" s="135" t="s">
        <v>1602</v>
      </c>
      <c r="N52" s="135" t="s">
        <v>1344</v>
      </c>
      <c r="O52" s="135" t="s">
        <v>1345</v>
      </c>
      <c r="P52" s="135" t="s">
        <v>1346</v>
      </c>
      <c r="Q52" s="138">
        <v>1035</v>
      </c>
      <c r="R52" s="135">
        <v>1116</v>
      </c>
      <c r="S52" s="135" t="s">
        <v>1366</v>
      </c>
      <c r="T52" s="135" t="s">
        <v>1606</v>
      </c>
      <c r="U52" s="135">
        <v>1</v>
      </c>
      <c r="V52" s="135">
        <v>1270</v>
      </c>
      <c r="W52" s="135">
        <v>1290</v>
      </c>
      <c r="X52" s="135" t="s">
        <v>1443</v>
      </c>
      <c r="Y52" s="135" t="s">
        <v>1369</v>
      </c>
      <c r="Z52" s="134" t="s">
        <v>1350</v>
      </c>
      <c r="AA52" s="134"/>
    </row>
    <row r="53" spans="1:27" ht="15" hidden="1">
      <c r="A53" s="135" t="s">
        <v>1597</v>
      </c>
      <c r="B53" s="135">
        <v>1</v>
      </c>
      <c r="C53" s="136">
        <v>1</v>
      </c>
      <c r="D53" s="135" t="s">
        <v>1615</v>
      </c>
      <c r="E53" s="135" t="s">
        <v>1616</v>
      </c>
      <c r="F53" s="135"/>
      <c r="G53" s="135">
        <v>19</v>
      </c>
      <c r="H53" s="137" t="s">
        <v>1617</v>
      </c>
      <c r="I53" s="135" t="s">
        <v>1339</v>
      </c>
      <c r="J53" s="137" t="s">
        <v>1340</v>
      </c>
      <c r="K53" s="135" t="s">
        <v>1601</v>
      </c>
      <c r="L53" s="135" t="s">
        <v>1342</v>
      </c>
      <c r="M53" s="135" t="s">
        <v>1602</v>
      </c>
      <c r="N53" s="135" t="s">
        <v>1344</v>
      </c>
      <c r="O53" s="135" t="s">
        <v>1345</v>
      </c>
      <c r="P53" s="135" t="s">
        <v>1346</v>
      </c>
      <c r="Q53" s="138">
        <v>3489</v>
      </c>
      <c r="R53" s="135">
        <v>3623</v>
      </c>
      <c r="S53" s="135" t="s">
        <v>1347</v>
      </c>
      <c r="T53" s="135">
        <v>0</v>
      </c>
      <c r="U53" s="135">
        <v>0</v>
      </c>
      <c r="V53" s="135">
        <v>0</v>
      </c>
      <c r="W53" s="135">
        <v>0</v>
      </c>
      <c r="X53" s="135" t="s">
        <v>1386</v>
      </c>
      <c r="Y53" s="135" t="s">
        <v>1349</v>
      </c>
      <c r="Z53" s="134" t="s">
        <v>1350</v>
      </c>
      <c r="AA53" s="134"/>
    </row>
    <row r="54" spans="1:27" ht="15" hidden="1">
      <c r="A54" s="135" t="s">
        <v>1335</v>
      </c>
      <c r="B54" s="135">
        <v>2</v>
      </c>
      <c r="C54" s="136">
        <v>1</v>
      </c>
      <c r="D54" s="135" t="s">
        <v>1618</v>
      </c>
      <c r="E54" s="135" t="s">
        <v>1619</v>
      </c>
      <c r="F54" s="135"/>
      <c r="G54" s="135">
        <v>19</v>
      </c>
      <c r="H54" s="137" t="s">
        <v>1620</v>
      </c>
      <c r="I54" s="135" t="s">
        <v>1364</v>
      </c>
      <c r="J54" s="137" t="s">
        <v>1340</v>
      </c>
      <c r="K54" s="135" t="s">
        <v>1341</v>
      </c>
      <c r="L54" s="135" t="s">
        <v>1342</v>
      </c>
      <c r="M54" s="135" t="s">
        <v>1602</v>
      </c>
      <c r="N54" s="135" t="s">
        <v>1344</v>
      </c>
      <c r="O54" s="135" t="s">
        <v>1345</v>
      </c>
      <c r="P54" s="135" t="s">
        <v>1346</v>
      </c>
      <c r="Q54" s="135">
        <v>934</v>
      </c>
      <c r="R54" s="135">
        <v>995</v>
      </c>
      <c r="S54" s="135" t="s">
        <v>1366</v>
      </c>
      <c r="T54" s="135" t="s">
        <v>1606</v>
      </c>
      <c r="U54" s="135">
        <v>2</v>
      </c>
      <c r="V54" s="135">
        <v>1310</v>
      </c>
      <c r="W54" s="135">
        <v>1330</v>
      </c>
      <c r="X54" s="135" t="s">
        <v>1443</v>
      </c>
      <c r="Y54" s="135" t="s">
        <v>1369</v>
      </c>
      <c r="Z54" s="134" t="s">
        <v>1350</v>
      </c>
      <c r="AA54" s="134"/>
    </row>
    <row r="55" spans="1:27" ht="15" hidden="1">
      <c r="A55" s="135" t="s">
        <v>1597</v>
      </c>
      <c r="B55" s="135">
        <v>8</v>
      </c>
      <c r="C55" s="136">
        <v>3</v>
      </c>
      <c r="D55" s="135" t="s">
        <v>1621</v>
      </c>
      <c r="E55" s="135" t="s">
        <v>1622</v>
      </c>
      <c r="F55" s="135"/>
      <c r="G55" s="135">
        <v>19</v>
      </c>
      <c r="H55" s="137" t="s">
        <v>1623</v>
      </c>
      <c r="I55" s="135" t="s">
        <v>1339</v>
      </c>
      <c r="J55" s="137" t="s">
        <v>1340</v>
      </c>
      <c r="K55" s="135" t="s">
        <v>1601</v>
      </c>
      <c r="L55" s="135" t="s">
        <v>1342</v>
      </c>
      <c r="M55" s="135" t="s">
        <v>1602</v>
      </c>
      <c r="N55" s="135" t="s">
        <v>1344</v>
      </c>
      <c r="O55" s="135" t="s">
        <v>1345</v>
      </c>
      <c r="P55" s="135" t="s">
        <v>1346</v>
      </c>
      <c r="Q55" s="138">
        <v>6003</v>
      </c>
      <c r="R55" s="135">
        <v>6088</v>
      </c>
      <c r="S55" s="135" t="s">
        <v>1347</v>
      </c>
      <c r="T55" s="135">
        <v>0</v>
      </c>
      <c r="U55" s="135">
        <v>0</v>
      </c>
      <c r="V55" s="135">
        <v>0</v>
      </c>
      <c r="W55" s="135">
        <v>0</v>
      </c>
      <c r="X55" s="135" t="s">
        <v>1377</v>
      </c>
      <c r="Y55" s="135" t="s">
        <v>1416</v>
      </c>
      <c r="Z55" s="134" t="s">
        <v>1350</v>
      </c>
      <c r="AA55" s="134"/>
    </row>
    <row r="56" spans="1:27" ht="15" hidden="1">
      <c r="A56" s="135" t="s">
        <v>1486</v>
      </c>
      <c r="B56" s="135">
        <v>2</v>
      </c>
      <c r="C56" s="136">
        <v>1</v>
      </c>
      <c r="D56" s="135" t="s">
        <v>1624</v>
      </c>
      <c r="E56" s="135" t="s">
        <v>1625</v>
      </c>
      <c r="F56" s="135"/>
      <c r="G56" s="135">
        <v>20</v>
      </c>
      <c r="H56" s="137" t="s">
        <v>1626</v>
      </c>
      <c r="I56" s="135" t="s">
        <v>1339</v>
      </c>
      <c r="J56" s="137" t="s">
        <v>1340</v>
      </c>
      <c r="K56" s="135" t="s">
        <v>1627</v>
      </c>
      <c r="L56" s="135" t="s">
        <v>1342</v>
      </c>
      <c r="M56" s="135" t="s">
        <v>1602</v>
      </c>
      <c r="N56" s="135" t="s">
        <v>1344</v>
      </c>
      <c r="O56" s="135" t="s">
        <v>1345</v>
      </c>
      <c r="P56" s="135" t="s">
        <v>1346</v>
      </c>
      <c r="Q56" s="138">
        <v>3015</v>
      </c>
      <c r="R56" s="135">
        <v>3051</v>
      </c>
      <c r="S56" s="135" t="s">
        <v>1347</v>
      </c>
      <c r="T56" s="135">
        <v>0</v>
      </c>
      <c r="U56" s="135">
        <v>0</v>
      </c>
      <c r="V56" s="135">
        <v>0</v>
      </c>
      <c r="W56" s="135">
        <v>0</v>
      </c>
      <c r="X56" s="135" t="s">
        <v>1443</v>
      </c>
      <c r="Y56" s="135" t="s">
        <v>1349</v>
      </c>
      <c r="Z56" s="134" t="s">
        <v>1350</v>
      </c>
      <c r="AA56" s="134"/>
    </row>
    <row r="57" spans="1:27" ht="15" hidden="1">
      <c r="A57" s="135" t="s">
        <v>1486</v>
      </c>
      <c r="B57" s="135">
        <v>1</v>
      </c>
      <c r="C57" s="136">
        <v>1</v>
      </c>
      <c r="D57" s="135" t="s">
        <v>1628</v>
      </c>
      <c r="E57" s="135" t="s">
        <v>1629</v>
      </c>
      <c r="F57" s="135"/>
      <c r="G57" s="135">
        <v>20</v>
      </c>
      <c r="H57" s="137" t="s">
        <v>1630</v>
      </c>
      <c r="I57" s="135" t="s">
        <v>1339</v>
      </c>
      <c r="J57" s="137" t="s">
        <v>1340</v>
      </c>
      <c r="K57" s="135" t="s">
        <v>1627</v>
      </c>
      <c r="L57" s="135" t="s">
        <v>1342</v>
      </c>
      <c r="M57" s="135" t="s">
        <v>1602</v>
      </c>
      <c r="N57" s="135" t="s">
        <v>1344</v>
      </c>
      <c r="O57" s="135" t="s">
        <v>1345</v>
      </c>
      <c r="P57" s="135" t="s">
        <v>1346</v>
      </c>
      <c r="Q57" s="138">
        <v>2673</v>
      </c>
      <c r="R57" s="135">
        <v>2714</v>
      </c>
      <c r="S57" s="135" t="s">
        <v>1347</v>
      </c>
      <c r="T57" s="135">
        <v>0</v>
      </c>
      <c r="U57" s="135">
        <v>0</v>
      </c>
      <c r="V57" s="135">
        <v>0</v>
      </c>
      <c r="W57" s="135">
        <v>0</v>
      </c>
      <c r="X57" s="135" t="s">
        <v>1386</v>
      </c>
      <c r="Y57" s="135" t="s">
        <v>1349</v>
      </c>
      <c r="Z57" s="134" t="s">
        <v>1350</v>
      </c>
      <c r="AA57" s="134"/>
    </row>
    <row r="58" spans="1:27" ht="15" hidden="1">
      <c r="A58" s="135" t="s">
        <v>1631</v>
      </c>
      <c r="B58" s="135">
        <v>8</v>
      </c>
      <c r="C58" s="136">
        <v>1</v>
      </c>
      <c r="D58" s="135" t="s">
        <v>1632</v>
      </c>
      <c r="E58" s="135" t="s">
        <v>1633</v>
      </c>
      <c r="F58" s="135"/>
      <c r="G58" s="135">
        <v>20</v>
      </c>
      <c r="H58" s="137" t="s">
        <v>1634</v>
      </c>
      <c r="I58" s="135" t="s">
        <v>1339</v>
      </c>
      <c r="J58" s="137" t="s">
        <v>1340</v>
      </c>
      <c r="K58" s="135" t="s">
        <v>1635</v>
      </c>
      <c r="L58" s="135" t="s">
        <v>1342</v>
      </c>
      <c r="M58" s="135" t="s">
        <v>1602</v>
      </c>
      <c r="N58" s="135" t="s">
        <v>1344</v>
      </c>
      <c r="O58" s="135" t="s">
        <v>1345</v>
      </c>
      <c r="P58" s="135" t="s">
        <v>1346</v>
      </c>
      <c r="Q58" s="138">
        <v>3879</v>
      </c>
      <c r="R58" s="135">
        <v>3906</v>
      </c>
      <c r="S58" s="135" t="s">
        <v>1347</v>
      </c>
      <c r="T58" s="135">
        <v>0</v>
      </c>
      <c r="U58" s="135">
        <v>0</v>
      </c>
      <c r="V58" s="135">
        <v>0</v>
      </c>
      <c r="W58" s="135">
        <v>0</v>
      </c>
      <c r="X58" s="135" t="s">
        <v>1377</v>
      </c>
      <c r="Y58" s="135" t="s">
        <v>1349</v>
      </c>
      <c r="Z58" s="134" t="s">
        <v>1350</v>
      </c>
      <c r="AA58" s="134"/>
    </row>
    <row r="59" spans="1:27" ht="15" hidden="1">
      <c r="A59" s="135" t="s">
        <v>1561</v>
      </c>
      <c r="B59" s="135">
        <v>6</v>
      </c>
      <c r="C59" s="136">
        <v>1</v>
      </c>
      <c r="D59" s="135" t="s">
        <v>1636</v>
      </c>
      <c r="E59" s="135" t="s">
        <v>1637</v>
      </c>
      <c r="F59" s="135"/>
      <c r="G59" s="135">
        <v>20</v>
      </c>
      <c r="H59" s="137" t="s">
        <v>1638</v>
      </c>
      <c r="I59" s="135" t="s">
        <v>1339</v>
      </c>
      <c r="J59" s="137" t="s">
        <v>1340</v>
      </c>
      <c r="K59" s="135" t="s">
        <v>1566</v>
      </c>
      <c r="L59" s="135" t="s">
        <v>1342</v>
      </c>
      <c r="M59" s="135" t="s">
        <v>1602</v>
      </c>
      <c r="N59" s="135" t="s">
        <v>1344</v>
      </c>
      <c r="O59" s="135" t="s">
        <v>1345</v>
      </c>
      <c r="P59" s="135" t="s">
        <v>1346</v>
      </c>
      <c r="Q59" s="138">
        <v>2389</v>
      </c>
      <c r="R59" s="135">
        <v>2434</v>
      </c>
      <c r="S59" s="135" t="s">
        <v>1347</v>
      </c>
      <c r="T59" s="135">
        <v>0</v>
      </c>
      <c r="U59" s="135">
        <v>0</v>
      </c>
      <c r="V59" s="135">
        <v>0</v>
      </c>
      <c r="W59" s="135">
        <v>0</v>
      </c>
      <c r="X59" s="135" t="s">
        <v>1408</v>
      </c>
      <c r="Y59" s="135" t="s">
        <v>1349</v>
      </c>
      <c r="Z59" s="134" t="s">
        <v>1350</v>
      </c>
      <c r="AA59" s="134"/>
    </row>
    <row r="60" spans="1:27" ht="15" hidden="1">
      <c r="A60" s="135" t="s">
        <v>1639</v>
      </c>
      <c r="B60" s="135">
        <v>4</v>
      </c>
      <c r="C60" s="136">
        <v>1</v>
      </c>
      <c r="D60" s="135" t="s">
        <v>1640</v>
      </c>
      <c r="E60" s="135" t="s">
        <v>1641</v>
      </c>
      <c r="F60" s="135"/>
      <c r="G60" s="135">
        <v>20</v>
      </c>
      <c r="H60" s="137" t="s">
        <v>1642</v>
      </c>
      <c r="I60" s="135" t="s">
        <v>1364</v>
      </c>
      <c r="J60" s="137" t="s">
        <v>1340</v>
      </c>
      <c r="K60" s="135" t="s">
        <v>1643</v>
      </c>
      <c r="L60" s="135" t="s">
        <v>1342</v>
      </c>
      <c r="M60" s="135" t="s">
        <v>1602</v>
      </c>
      <c r="N60" s="135" t="s">
        <v>1344</v>
      </c>
      <c r="O60" s="135" t="s">
        <v>1345</v>
      </c>
      <c r="P60" s="135" t="s">
        <v>1346</v>
      </c>
      <c r="Q60" s="138">
        <v>2015</v>
      </c>
      <c r="R60" s="135">
        <v>2100</v>
      </c>
      <c r="S60" s="135" t="s">
        <v>1366</v>
      </c>
      <c r="T60" s="135" t="s">
        <v>1367</v>
      </c>
      <c r="U60" s="135">
        <v>2</v>
      </c>
      <c r="V60" s="135">
        <v>1310</v>
      </c>
      <c r="W60" s="135">
        <v>1330</v>
      </c>
      <c r="X60" s="135" t="s">
        <v>1368</v>
      </c>
      <c r="Y60" s="135" t="s">
        <v>1369</v>
      </c>
      <c r="Z60" s="134" t="s">
        <v>1350</v>
      </c>
      <c r="AA60" s="134"/>
    </row>
    <row r="61" spans="1:27" ht="15" hidden="1">
      <c r="A61" s="135" t="s">
        <v>1351</v>
      </c>
      <c r="B61" s="135">
        <v>1</v>
      </c>
      <c r="C61" s="136">
        <v>2</v>
      </c>
      <c r="D61" s="135" t="s">
        <v>1644</v>
      </c>
      <c r="E61" s="135" t="s">
        <v>1645</v>
      </c>
      <c r="F61" s="135"/>
      <c r="G61" s="135">
        <v>20</v>
      </c>
      <c r="H61" s="137" t="s">
        <v>1646</v>
      </c>
      <c r="I61" s="135" t="s">
        <v>1364</v>
      </c>
      <c r="J61" s="137" t="s">
        <v>1340</v>
      </c>
      <c r="K61" s="135" t="s">
        <v>1356</v>
      </c>
      <c r="L61" s="135" t="s">
        <v>1342</v>
      </c>
      <c r="M61" s="135" t="s">
        <v>1647</v>
      </c>
      <c r="N61" s="135" t="s">
        <v>1344</v>
      </c>
      <c r="O61" s="135" t="s">
        <v>1345</v>
      </c>
      <c r="P61" s="135" t="s">
        <v>1346</v>
      </c>
      <c r="Q61" s="138">
        <v>3431</v>
      </c>
      <c r="R61" s="135">
        <v>3641</v>
      </c>
      <c r="S61" s="135" t="s">
        <v>1366</v>
      </c>
      <c r="T61" s="135" t="s">
        <v>1349</v>
      </c>
      <c r="U61" s="135">
        <v>2</v>
      </c>
      <c r="V61" s="135">
        <v>1270</v>
      </c>
      <c r="W61" s="135">
        <v>1290</v>
      </c>
      <c r="X61" s="135" t="s">
        <v>1386</v>
      </c>
      <c r="Y61" s="135" t="s">
        <v>1648</v>
      </c>
      <c r="Z61" s="134" t="s">
        <v>1350</v>
      </c>
      <c r="AA61" s="134"/>
    </row>
    <row r="62" spans="1:27" ht="15" hidden="1">
      <c r="A62" s="135" t="s">
        <v>1466</v>
      </c>
      <c r="B62" s="135">
        <v>2</v>
      </c>
      <c r="C62" s="136">
        <v>2</v>
      </c>
      <c r="D62" s="135" t="s">
        <v>1649</v>
      </c>
      <c r="E62" s="135" t="s">
        <v>1650</v>
      </c>
      <c r="F62" s="135"/>
      <c r="G62" s="135">
        <v>20</v>
      </c>
      <c r="H62" s="137" t="s">
        <v>1651</v>
      </c>
      <c r="I62" s="135" t="s">
        <v>1364</v>
      </c>
      <c r="J62" s="137" t="s">
        <v>1340</v>
      </c>
      <c r="K62" s="135" t="s">
        <v>1470</v>
      </c>
      <c r="L62" s="135" t="s">
        <v>1342</v>
      </c>
      <c r="M62" s="135" t="s">
        <v>1647</v>
      </c>
      <c r="N62" s="135" t="s">
        <v>1344</v>
      </c>
      <c r="O62" s="135" t="s">
        <v>1345</v>
      </c>
      <c r="P62" s="135" t="s">
        <v>1346</v>
      </c>
      <c r="Q62" s="138">
        <v>3895</v>
      </c>
      <c r="R62" s="135">
        <v>4143</v>
      </c>
      <c r="S62" s="135" t="s">
        <v>1366</v>
      </c>
      <c r="T62" s="135" t="s">
        <v>1652</v>
      </c>
      <c r="U62" s="135">
        <v>1</v>
      </c>
      <c r="V62" s="135">
        <v>1270</v>
      </c>
      <c r="W62" s="135">
        <v>1290</v>
      </c>
      <c r="X62" s="135" t="s">
        <v>1443</v>
      </c>
      <c r="Y62" s="135" t="s">
        <v>1648</v>
      </c>
      <c r="Z62" s="134" t="s">
        <v>1350</v>
      </c>
      <c r="AA62" s="134"/>
    </row>
    <row r="63" spans="1:27" ht="15" hidden="1">
      <c r="A63" s="135" t="s">
        <v>1466</v>
      </c>
      <c r="B63" s="135">
        <v>2</v>
      </c>
      <c r="C63" s="136">
        <v>2</v>
      </c>
      <c r="D63" s="135" t="s">
        <v>1653</v>
      </c>
      <c r="E63" s="135" t="s">
        <v>1654</v>
      </c>
      <c r="F63" s="135"/>
      <c r="G63" s="135">
        <v>20</v>
      </c>
      <c r="H63" s="135">
        <v>-992.09400000000005</v>
      </c>
      <c r="I63" s="135" t="s">
        <v>1364</v>
      </c>
      <c r="J63" s="137" t="s">
        <v>1340</v>
      </c>
      <c r="K63" s="135" t="s">
        <v>1470</v>
      </c>
      <c r="L63" s="135" t="s">
        <v>1342</v>
      </c>
      <c r="M63" s="135" t="s">
        <v>1647</v>
      </c>
      <c r="N63" s="135" t="s">
        <v>1344</v>
      </c>
      <c r="O63" s="135" t="s">
        <v>1345</v>
      </c>
      <c r="P63" s="135" t="s">
        <v>1346</v>
      </c>
      <c r="Q63" s="135" t="s">
        <v>1655</v>
      </c>
      <c r="R63" s="135">
        <v>4500</v>
      </c>
      <c r="S63" s="135" t="s">
        <v>1366</v>
      </c>
      <c r="T63" s="135" t="s">
        <v>1652</v>
      </c>
      <c r="U63" s="135">
        <v>3</v>
      </c>
      <c r="V63" s="135">
        <v>1350</v>
      </c>
      <c r="W63" s="135">
        <v>1370</v>
      </c>
      <c r="X63" s="135" t="s">
        <v>1443</v>
      </c>
      <c r="Y63" s="135" t="s">
        <v>1648</v>
      </c>
      <c r="Z63" s="134" t="s">
        <v>1350</v>
      </c>
      <c r="AA63" s="134"/>
    </row>
    <row r="64" spans="1:27" ht="15" hidden="1">
      <c r="A64" s="135" t="s">
        <v>1466</v>
      </c>
      <c r="B64" s="135">
        <v>2</v>
      </c>
      <c r="C64" s="136">
        <v>2</v>
      </c>
      <c r="D64" s="135" t="s">
        <v>1656</v>
      </c>
      <c r="E64" s="135" t="s">
        <v>1657</v>
      </c>
      <c r="F64" s="135"/>
      <c r="G64" s="135">
        <v>20</v>
      </c>
      <c r="H64" s="135">
        <v>-992.09900000000005</v>
      </c>
      <c r="I64" s="135" t="s">
        <v>1364</v>
      </c>
      <c r="J64" s="137" t="s">
        <v>1340</v>
      </c>
      <c r="K64" s="135" t="s">
        <v>1470</v>
      </c>
      <c r="L64" s="135" t="s">
        <v>1342</v>
      </c>
      <c r="M64" s="135" t="s">
        <v>1647</v>
      </c>
      <c r="N64" s="135" t="s">
        <v>1344</v>
      </c>
      <c r="O64" s="135" t="s">
        <v>1345</v>
      </c>
      <c r="P64" s="135" t="s">
        <v>1346</v>
      </c>
      <c r="Q64" s="135" t="s">
        <v>1655</v>
      </c>
      <c r="R64" s="135">
        <v>4398</v>
      </c>
      <c r="S64" s="135" t="s">
        <v>1366</v>
      </c>
      <c r="T64" s="135" t="s">
        <v>1652</v>
      </c>
      <c r="U64" s="135">
        <v>2</v>
      </c>
      <c r="V64" s="135">
        <v>1310</v>
      </c>
      <c r="W64" s="135">
        <v>1330</v>
      </c>
      <c r="X64" s="135" t="s">
        <v>1443</v>
      </c>
      <c r="Y64" s="135" t="s">
        <v>1648</v>
      </c>
      <c r="Z64" s="134" t="s">
        <v>1350</v>
      </c>
      <c r="AA64" s="134"/>
    </row>
    <row r="65" spans="1:27" ht="15" hidden="1">
      <c r="A65" s="135" t="s">
        <v>1466</v>
      </c>
      <c r="B65" s="135">
        <v>2</v>
      </c>
      <c r="C65" s="136">
        <v>2</v>
      </c>
      <c r="D65" s="135" t="s">
        <v>1658</v>
      </c>
      <c r="E65" s="135" t="s">
        <v>1659</v>
      </c>
      <c r="F65" s="135"/>
      <c r="G65" s="135">
        <v>20</v>
      </c>
      <c r="H65" s="135">
        <v>-992.10199999999998</v>
      </c>
      <c r="I65" s="135" t="s">
        <v>1364</v>
      </c>
      <c r="J65" s="137" t="s">
        <v>1340</v>
      </c>
      <c r="K65" s="135" t="s">
        <v>1470</v>
      </c>
      <c r="L65" s="135" t="s">
        <v>1342</v>
      </c>
      <c r="M65" s="135" t="s">
        <v>1647</v>
      </c>
      <c r="N65" s="135" t="s">
        <v>1344</v>
      </c>
      <c r="O65" s="135" t="s">
        <v>1345</v>
      </c>
      <c r="P65" s="135" t="s">
        <v>1346</v>
      </c>
      <c r="Q65" s="135" t="s">
        <v>1655</v>
      </c>
      <c r="R65" s="135">
        <v>4415</v>
      </c>
      <c r="S65" s="135" t="s">
        <v>1366</v>
      </c>
      <c r="T65" s="135" t="s">
        <v>1652</v>
      </c>
      <c r="U65" s="135">
        <v>4</v>
      </c>
      <c r="V65" s="135">
        <v>1390</v>
      </c>
      <c r="W65" s="135">
        <v>1410</v>
      </c>
      <c r="X65" s="135" t="s">
        <v>1443</v>
      </c>
      <c r="Y65" s="135" t="s">
        <v>1648</v>
      </c>
      <c r="Z65" s="134" t="s">
        <v>1350</v>
      </c>
      <c r="AA65" s="134"/>
    </row>
    <row r="66" spans="1:27" ht="15" hidden="1">
      <c r="A66" s="135" t="s">
        <v>1351</v>
      </c>
      <c r="B66" s="135">
        <v>1</v>
      </c>
      <c r="C66" s="136">
        <v>2</v>
      </c>
      <c r="D66" s="135" t="s">
        <v>1660</v>
      </c>
      <c r="E66" s="135" t="s">
        <v>1661</v>
      </c>
      <c r="F66" s="135"/>
      <c r="G66" s="135">
        <v>20</v>
      </c>
      <c r="H66" s="135"/>
      <c r="I66" s="135" t="s">
        <v>1364</v>
      </c>
      <c r="J66" s="137" t="s">
        <v>1340</v>
      </c>
      <c r="K66" s="135" t="s">
        <v>1356</v>
      </c>
      <c r="L66" s="135" t="s">
        <v>1342</v>
      </c>
      <c r="M66" s="135" t="s">
        <v>1647</v>
      </c>
      <c r="N66" s="135" t="s">
        <v>1344</v>
      </c>
      <c r="O66" s="135" t="s">
        <v>1345</v>
      </c>
      <c r="P66" s="135" t="s">
        <v>1346</v>
      </c>
      <c r="Q66" s="138">
        <v>2753</v>
      </c>
      <c r="R66" s="135">
        <v>2813</v>
      </c>
      <c r="S66" s="135" t="s">
        <v>1366</v>
      </c>
      <c r="T66" s="135" t="s">
        <v>1349</v>
      </c>
      <c r="U66" s="135">
        <v>1</v>
      </c>
      <c r="V66" s="135">
        <v>1270</v>
      </c>
      <c r="W66" s="135">
        <v>1290</v>
      </c>
      <c r="X66" s="135" t="s">
        <v>1386</v>
      </c>
      <c r="Y66" s="135" t="s">
        <v>1648</v>
      </c>
      <c r="Z66" s="134" t="s">
        <v>1350</v>
      </c>
      <c r="AA66" s="134"/>
    </row>
    <row r="67" spans="1:27" ht="15" hidden="1">
      <c r="A67" s="135" t="s">
        <v>1351</v>
      </c>
      <c r="B67" s="135">
        <v>1</v>
      </c>
      <c r="C67" s="136">
        <v>2</v>
      </c>
      <c r="D67" s="135" t="s">
        <v>1662</v>
      </c>
      <c r="E67" s="135" t="s">
        <v>1663</v>
      </c>
      <c r="F67" s="135"/>
      <c r="G67" s="135">
        <v>20</v>
      </c>
      <c r="H67" s="135"/>
      <c r="I67" s="135" t="s">
        <v>1364</v>
      </c>
      <c r="J67" s="137" t="s">
        <v>1340</v>
      </c>
      <c r="K67" s="135" t="s">
        <v>1356</v>
      </c>
      <c r="L67" s="135" t="s">
        <v>1342</v>
      </c>
      <c r="M67" s="135" t="s">
        <v>1647</v>
      </c>
      <c r="N67" s="135" t="s">
        <v>1344</v>
      </c>
      <c r="O67" s="135" t="s">
        <v>1345</v>
      </c>
      <c r="P67" s="135" t="s">
        <v>1346</v>
      </c>
      <c r="Q67" s="138">
        <v>3965</v>
      </c>
      <c r="R67" s="135">
        <v>4080</v>
      </c>
      <c r="S67" s="135" t="s">
        <v>1366</v>
      </c>
      <c r="T67" s="135" t="s">
        <v>1349</v>
      </c>
      <c r="U67" s="135">
        <v>5</v>
      </c>
      <c r="V67" s="135">
        <v>1390</v>
      </c>
      <c r="W67" s="135">
        <v>1410</v>
      </c>
      <c r="X67" s="135" t="s">
        <v>1386</v>
      </c>
      <c r="Y67" s="135" t="s">
        <v>1648</v>
      </c>
      <c r="Z67" s="134" t="s">
        <v>1350</v>
      </c>
      <c r="AA67" s="134"/>
    </row>
    <row r="68" spans="1:27" ht="15" hidden="1">
      <c r="A68" s="135" t="s">
        <v>1351</v>
      </c>
      <c r="B68" s="135">
        <v>1</v>
      </c>
      <c r="C68" s="136">
        <v>2</v>
      </c>
      <c r="D68" s="135" t="s">
        <v>1664</v>
      </c>
      <c r="E68" s="135" t="s">
        <v>1665</v>
      </c>
      <c r="F68" s="135"/>
      <c r="G68" s="135">
        <v>20</v>
      </c>
      <c r="H68" s="135"/>
      <c r="I68" s="135" t="s">
        <v>1364</v>
      </c>
      <c r="J68" s="137" t="s">
        <v>1340</v>
      </c>
      <c r="K68" s="135" t="s">
        <v>1356</v>
      </c>
      <c r="L68" s="135" t="s">
        <v>1342</v>
      </c>
      <c r="M68" s="135" t="s">
        <v>1647</v>
      </c>
      <c r="N68" s="135" t="s">
        <v>1344</v>
      </c>
      <c r="O68" s="135" t="s">
        <v>1345</v>
      </c>
      <c r="P68" s="135" t="s">
        <v>1346</v>
      </c>
      <c r="Q68" s="138">
        <v>3635</v>
      </c>
      <c r="R68" s="135">
        <v>3771</v>
      </c>
      <c r="S68" s="135" t="s">
        <v>1366</v>
      </c>
      <c r="T68" s="135" t="s">
        <v>1349</v>
      </c>
      <c r="U68" s="135">
        <v>3</v>
      </c>
      <c r="V68" s="135">
        <v>1310</v>
      </c>
      <c r="W68" s="135">
        <v>1330</v>
      </c>
      <c r="X68" s="135" t="s">
        <v>1386</v>
      </c>
      <c r="Y68" s="135" t="s">
        <v>1648</v>
      </c>
      <c r="Z68" s="134" t="s">
        <v>1350</v>
      </c>
      <c r="AA68" s="134"/>
    </row>
    <row r="69" spans="1:27" ht="15" hidden="1">
      <c r="A69" s="135" t="s">
        <v>1351</v>
      </c>
      <c r="B69" s="135">
        <v>1</v>
      </c>
      <c r="C69" s="136">
        <v>2</v>
      </c>
      <c r="D69" s="135" t="s">
        <v>1666</v>
      </c>
      <c r="E69" s="135" t="s">
        <v>1667</v>
      </c>
      <c r="F69" s="135"/>
      <c r="G69" s="135">
        <v>20</v>
      </c>
      <c r="H69" s="135"/>
      <c r="I69" s="135" t="s">
        <v>1364</v>
      </c>
      <c r="J69" s="137" t="s">
        <v>1340</v>
      </c>
      <c r="K69" s="135" t="s">
        <v>1356</v>
      </c>
      <c r="L69" s="135" t="s">
        <v>1342</v>
      </c>
      <c r="M69" s="135" t="s">
        <v>1647</v>
      </c>
      <c r="N69" s="135" t="s">
        <v>1344</v>
      </c>
      <c r="O69" s="135" t="s">
        <v>1345</v>
      </c>
      <c r="P69" s="135" t="s">
        <v>1346</v>
      </c>
      <c r="Q69" s="138">
        <v>3635</v>
      </c>
      <c r="R69" s="135">
        <v>3762</v>
      </c>
      <c r="S69" s="135" t="s">
        <v>1366</v>
      </c>
      <c r="T69" s="135" t="s">
        <v>1349</v>
      </c>
      <c r="U69" s="135">
        <v>4</v>
      </c>
      <c r="V69" s="135">
        <v>1350</v>
      </c>
      <c r="W69" s="135">
        <v>1370</v>
      </c>
      <c r="X69" s="135" t="s">
        <v>1386</v>
      </c>
      <c r="Y69" s="135" t="s">
        <v>1648</v>
      </c>
      <c r="Z69" s="134" t="s">
        <v>1350</v>
      </c>
      <c r="AA69" s="134"/>
    </row>
    <row r="70" spans="1:27" ht="15" hidden="1">
      <c r="A70" s="135" t="s">
        <v>1351</v>
      </c>
      <c r="B70" s="135">
        <v>1</v>
      </c>
      <c r="C70" s="136">
        <v>2</v>
      </c>
      <c r="D70" s="135" t="s">
        <v>1668</v>
      </c>
      <c r="E70" s="135" t="s">
        <v>1669</v>
      </c>
      <c r="F70" s="135"/>
      <c r="G70" s="135">
        <v>20</v>
      </c>
      <c r="H70" s="135"/>
      <c r="I70" s="135" t="s">
        <v>1364</v>
      </c>
      <c r="J70" s="137" t="s">
        <v>1340</v>
      </c>
      <c r="K70" s="135" t="s">
        <v>1356</v>
      </c>
      <c r="L70" s="135" t="s">
        <v>1342</v>
      </c>
      <c r="M70" s="135" t="s">
        <v>1647</v>
      </c>
      <c r="N70" s="135" t="s">
        <v>1344</v>
      </c>
      <c r="O70" s="135" t="s">
        <v>1345</v>
      </c>
      <c r="P70" s="135" t="s">
        <v>1346</v>
      </c>
      <c r="Q70" s="138">
        <v>3985</v>
      </c>
      <c r="R70" s="135">
        <v>4084</v>
      </c>
      <c r="S70" s="135" t="s">
        <v>1366</v>
      </c>
      <c r="T70" s="135" t="s">
        <v>1349</v>
      </c>
      <c r="U70" s="135">
        <v>6</v>
      </c>
      <c r="V70" s="135">
        <v>1430</v>
      </c>
      <c r="W70" s="135">
        <v>1450</v>
      </c>
      <c r="X70" s="135" t="s">
        <v>1386</v>
      </c>
      <c r="Y70" s="135" t="s">
        <v>1648</v>
      </c>
      <c r="Z70" s="134" t="s">
        <v>1350</v>
      </c>
      <c r="AA70" s="134"/>
    </row>
    <row r="71" spans="1:27" ht="15" hidden="1">
      <c r="A71" s="135" t="s">
        <v>1597</v>
      </c>
      <c r="B71" s="135">
        <v>4</v>
      </c>
      <c r="C71" s="136">
        <v>2</v>
      </c>
      <c r="D71" s="135" t="s">
        <v>1670</v>
      </c>
      <c r="E71" s="135" t="s">
        <v>1671</v>
      </c>
      <c r="F71" s="135"/>
      <c r="G71" s="135"/>
      <c r="H71" s="135"/>
      <c r="I71" s="135" t="s">
        <v>1364</v>
      </c>
      <c r="J71" s="137" t="s">
        <v>1340</v>
      </c>
      <c r="K71" s="135" t="s">
        <v>1601</v>
      </c>
      <c r="L71" s="135" t="s">
        <v>1342</v>
      </c>
      <c r="M71" s="135" t="s">
        <v>1647</v>
      </c>
      <c r="N71" s="135" t="s">
        <v>1344</v>
      </c>
      <c r="O71" s="135" t="s">
        <v>1345</v>
      </c>
      <c r="P71" s="135" t="s">
        <v>1346</v>
      </c>
      <c r="Q71" s="138">
        <v>1762</v>
      </c>
      <c r="R71" s="135">
        <v>1982</v>
      </c>
      <c r="S71" s="135" t="s">
        <v>1366</v>
      </c>
      <c r="T71" s="135" t="s">
        <v>1672</v>
      </c>
      <c r="U71" s="135">
        <v>2</v>
      </c>
      <c r="V71" s="135">
        <v>1310</v>
      </c>
      <c r="W71" s="135">
        <v>1330</v>
      </c>
      <c r="X71" s="135" t="s">
        <v>1368</v>
      </c>
      <c r="Y71" s="135" t="s">
        <v>1648</v>
      </c>
      <c r="Z71" s="134" t="s">
        <v>1350</v>
      </c>
      <c r="AA71" s="134"/>
    </row>
    <row r="72" spans="1:27" ht="15" hidden="1">
      <c r="A72" s="135" t="s">
        <v>1597</v>
      </c>
      <c r="B72" s="135">
        <v>3</v>
      </c>
      <c r="C72" s="136">
        <v>1</v>
      </c>
      <c r="D72" s="135" t="s">
        <v>1673</v>
      </c>
      <c r="E72" s="135" t="s">
        <v>1674</v>
      </c>
      <c r="F72" s="135"/>
      <c r="G72" s="135">
        <v>20</v>
      </c>
      <c r="H72" s="137" t="s">
        <v>1675</v>
      </c>
      <c r="I72" s="135" t="s">
        <v>1364</v>
      </c>
      <c r="J72" s="137" t="s">
        <v>1340</v>
      </c>
      <c r="K72" s="135" t="s">
        <v>1601</v>
      </c>
      <c r="L72" s="135" t="s">
        <v>1342</v>
      </c>
      <c r="M72" s="135" t="s">
        <v>1647</v>
      </c>
      <c r="N72" s="135" t="s">
        <v>1344</v>
      </c>
      <c r="O72" s="135" t="s">
        <v>1345</v>
      </c>
      <c r="P72" s="135" t="s">
        <v>1346</v>
      </c>
      <c r="Q72" s="138">
        <v>1162</v>
      </c>
      <c r="R72" s="135">
        <v>1226</v>
      </c>
      <c r="S72" s="135" t="s">
        <v>1366</v>
      </c>
      <c r="T72" s="135" t="s">
        <v>1481</v>
      </c>
      <c r="U72" s="135">
        <v>6</v>
      </c>
      <c r="V72" s="135">
        <v>1430</v>
      </c>
      <c r="W72" s="135">
        <v>1450</v>
      </c>
      <c r="X72" s="135" t="s">
        <v>1393</v>
      </c>
      <c r="Y72" s="135" t="s">
        <v>1369</v>
      </c>
      <c r="Z72" s="134" t="s">
        <v>1350</v>
      </c>
      <c r="AA72" s="134"/>
    </row>
    <row r="73" spans="1:27" ht="15" hidden="1">
      <c r="A73" s="135" t="s">
        <v>1466</v>
      </c>
      <c r="B73" s="135">
        <v>1</v>
      </c>
      <c r="C73" s="136">
        <v>1</v>
      </c>
      <c r="D73" s="135" t="s">
        <v>1676</v>
      </c>
      <c r="E73" s="135" t="s">
        <v>1677</v>
      </c>
      <c r="F73" s="135"/>
      <c r="G73" s="135">
        <v>20</v>
      </c>
      <c r="H73" s="137" t="s">
        <v>1678</v>
      </c>
      <c r="I73" s="135" t="s">
        <v>1364</v>
      </c>
      <c r="J73" s="137" t="s">
        <v>1340</v>
      </c>
      <c r="K73" s="135" t="s">
        <v>1470</v>
      </c>
      <c r="L73" s="135" t="s">
        <v>1342</v>
      </c>
      <c r="M73" s="135" t="s">
        <v>1647</v>
      </c>
      <c r="N73" s="135" t="s">
        <v>1344</v>
      </c>
      <c r="O73" s="135" t="s">
        <v>1345</v>
      </c>
      <c r="P73" s="135" t="s">
        <v>1346</v>
      </c>
      <c r="Q73" s="138">
        <v>2056</v>
      </c>
      <c r="R73" s="135">
        <v>2135</v>
      </c>
      <c r="S73" s="135" t="s">
        <v>1366</v>
      </c>
      <c r="T73" s="135" t="s">
        <v>1611</v>
      </c>
      <c r="U73" s="135">
        <v>3</v>
      </c>
      <c r="V73" s="135">
        <v>1350</v>
      </c>
      <c r="W73" s="135">
        <v>1370</v>
      </c>
      <c r="X73" s="135" t="s">
        <v>1386</v>
      </c>
      <c r="Y73" s="135" t="s">
        <v>1369</v>
      </c>
      <c r="Z73" s="134" t="s">
        <v>1350</v>
      </c>
      <c r="AA73" s="134"/>
    </row>
    <row r="74" spans="1:27" ht="15" hidden="1">
      <c r="A74" s="135" t="s">
        <v>1561</v>
      </c>
      <c r="B74" s="135">
        <v>1</v>
      </c>
      <c r="C74" s="136">
        <v>1</v>
      </c>
      <c r="D74" s="135" t="s">
        <v>1679</v>
      </c>
      <c r="E74" s="135" t="s">
        <v>1680</v>
      </c>
      <c r="F74" s="135"/>
      <c r="G74" s="135">
        <v>20</v>
      </c>
      <c r="H74" s="137" t="s">
        <v>1681</v>
      </c>
      <c r="I74" s="135" t="s">
        <v>1339</v>
      </c>
      <c r="J74" s="137" t="s">
        <v>1340</v>
      </c>
      <c r="K74" s="135" t="s">
        <v>1566</v>
      </c>
      <c r="L74" s="135" t="s">
        <v>1342</v>
      </c>
      <c r="M74" s="135" t="s">
        <v>1647</v>
      </c>
      <c r="N74" s="135" t="s">
        <v>1344</v>
      </c>
      <c r="O74" s="135" t="s">
        <v>1345</v>
      </c>
      <c r="P74" s="135" t="s">
        <v>1346</v>
      </c>
      <c r="Q74" s="138">
        <v>3353</v>
      </c>
      <c r="R74" s="135">
        <v>3571</v>
      </c>
      <c r="S74" s="135" t="s">
        <v>1347</v>
      </c>
      <c r="T74" s="135">
        <v>0</v>
      </c>
      <c r="U74" s="135">
        <v>0</v>
      </c>
      <c r="V74" s="135">
        <v>0</v>
      </c>
      <c r="W74" s="135">
        <v>0</v>
      </c>
      <c r="X74" s="135" t="s">
        <v>1386</v>
      </c>
      <c r="Y74" s="135" t="s">
        <v>1349</v>
      </c>
      <c r="Z74" s="134" t="s">
        <v>1350</v>
      </c>
      <c r="AA74" s="134"/>
    </row>
    <row r="75" spans="1:27" ht="15" hidden="1">
      <c r="A75" s="135" t="s">
        <v>1460</v>
      </c>
      <c r="B75" s="135">
        <v>1</v>
      </c>
      <c r="C75" s="136">
        <v>1</v>
      </c>
      <c r="D75" s="135" t="s">
        <v>1682</v>
      </c>
      <c r="E75" s="135" t="s">
        <v>1683</v>
      </c>
      <c r="F75" s="135"/>
      <c r="G75" s="135">
        <v>20</v>
      </c>
      <c r="H75" s="135">
        <v>-99.192999999999998</v>
      </c>
      <c r="I75" s="135" t="s">
        <v>1339</v>
      </c>
      <c r="J75" s="137" t="s">
        <v>1340</v>
      </c>
      <c r="K75" s="135" t="s">
        <v>1464</v>
      </c>
      <c r="L75" s="135" t="s">
        <v>1342</v>
      </c>
      <c r="M75" s="135" t="s">
        <v>1647</v>
      </c>
      <c r="N75" s="135" t="s">
        <v>1344</v>
      </c>
      <c r="O75" s="135" t="s">
        <v>1345</v>
      </c>
      <c r="P75" s="135" t="s">
        <v>1346</v>
      </c>
      <c r="Q75" s="138">
        <v>2869</v>
      </c>
      <c r="R75" s="135">
        <v>2897</v>
      </c>
      <c r="S75" s="135" t="s">
        <v>1347</v>
      </c>
      <c r="T75" s="135">
        <v>0</v>
      </c>
      <c r="U75" s="135">
        <v>0</v>
      </c>
      <c r="V75" s="135">
        <v>0</v>
      </c>
      <c r="W75" s="135">
        <v>0</v>
      </c>
      <c r="X75" s="135" t="s">
        <v>1386</v>
      </c>
      <c r="Y75" s="135" t="s">
        <v>1349</v>
      </c>
      <c r="Z75" s="134" t="s">
        <v>1350</v>
      </c>
      <c r="AA75" s="134"/>
    </row>
    <row r="76" spans="1:27" ht="15" hidden="1">
      <c r="A76" s="135" t="s">
        <v>1466</v>
      </c>
      <c r="B76" s="135">
        <v>2</v>
      </c>
      <c r="C76" s="136">
        <v>1</v>
      </c>
      <c r="D76" s="135" t="s">
        <v>1684</v>
      </c>
      <c r="E76" s="135" t="s">
        <v>1685</v>
      </c>
      <c r="F76" s="135"/>
      <c r="G76" s="135">
        <v>20</v>
      </c>
      <c r="H76" s="137" t="s">
        <v>1686</v>
      </c>
      <c r="I76" s="135" t="s">
        <v>1364</v>
      </c>
      <c r="J76" s="137" t="s">
        <v>1340</v>
      </c>
      <c r="K76" s="135" t="s">
        <v>1470</v>
      </c>
      <c r="L76" s="135" t="s">
        <v>1342</v>
      </c>
      <c r="M76" s="135" t="s">
        <v>1647</v>
      </c>
      <c r="N76" s="135" t="s">
        <v>1344</v>
      </c>
      <c r="O76" s="135" t="s">
        <v>1345</v>
      </c>
      <c r="P76" s="135" t="s">
        <v>1346</v>
      </c>
      <c r="Q76" s="138">
        <v>4213</v>
      </c>
      <c r="R76" s="135">
        <v>4558</v>
      </c>
      <c r="S76" s="135" t="s">
        <v>1366</v>
      </c>
      <c r="T76" s="135" t="s">
        <v>1606</v>
      </c>
      <c r="U76" s="135">
        <v>2</v>
      </c>
      <c r="V76" s="135">
        <v>1310</v>
      </c>
      <c r="W76" s="135">
        <v>1330</v>
      </c>
      <c r="X76" s="135" t="s">
        <v>1443</v>
      </c>
      <c r="Y76" s="135" t="s">
        <v>1369</v>
      </c>
      <c r="Z76" s="134" t="s">
        <v>1350</v>
      </c>
      <c r="AA76" s="134"/>
    </row>
    <row r="77" spans="1:27" ht="15" hidden="1">
      <c r="A77" s="135" t="s">
        <v>1466</v>
      </c>
      <c r="B77" s="135">
        <v>2</v>
      </c>
      <c r="C77" s="136">
        <v>1</v>
      </c>
      <c r="D77" s="135" t="s">
        <v>1687</v>
      </c>
      <c r="E77" s="135" t="s">
        <v>1688</v>
      </c>
      <c r="F77" s="135"/>
      <c r="G77" s="135">
        <v>20</v>
      </c>
      <c r="H77" s="137" t="s">
        <v>1689</v>
      </c>
      <c r="I77" s="135" t="s">
        <v>1364</v>
      </c>
      <c r="J77" s="137" t="s">
        <v>1340</v>
      </c>
      <c r="K77" s="135" t="s">
        <v>1470</v>
      </c>
      <c r="L77" s="135" t="s">
        <v>1342</v>
      </c>
      <c r="M77" s="135" t="s">
        <v>1647</v>
      </c>
      <c r="N77" s="135" t="s">
        <v>1344</v>
      </c>
      <c r="O77" s="135" t="s">
        <v>1345</v>
      </c>
      <c r="P77" s="135" t="s">
        <v>1346</v>
      </c>
      <c r="Q77" s="138">
        <v>4895</v>
      </c>
      <c r="R77" s="135">
        <v>4937</v>
      </c>
      <c r="S77" s="135" t="s">
        <v>1366</v>
      </c>
      <c r="T77" s="135" t="s">
        <v>1606</v>
      </c>
      <c r="U77" s="135">
        <v>4</v>
      </c>
      <c r="V77" s="135">
        <v>1390</v>
      </c>
      <c r="W77" s="135">
        <v>1410</v>
      </c>
      <c r="X77" s="135" t="s">
        <v>1443</v>
      </c>
      <c r="Y77" s="135" t="s">
        <v>1369</v>
      </c>
      <c r="Z77" s="134" t="s">
        <v>1350</v>
      </c>
      <c r="AA77" s="134"/>
    </row>
    <row r="78" spans="1:27" ht="15" hidden="1">
      <c r="A78" s="135" t="s">
        <v>1466</v>
      </c>
      <c r="B78" s="135">
        <v>5</v>
      </c>
      <c r="C78" s="136">
        <v>1</v>
      </c>
      <c r="D78" s="135" t="s">
        <v>1690</v>
      </c>
      <c r="E78" s="135" t="s">
        <v>1691</v>
      </c>
      <c r="F78" s="135"/>
      <c r="G78" s="135">
        <v>19</v>
      </c>
      <c r="H78" s="137" t="s">
        <v>1692</v>
      </c>
      <c r="I78" s="135" t="s">
        <v>1364</v>
      </c>
      <c r="J78" s="137" t="s">
        <v>1340</v>
      </c>
      <c r="K78" s="135" t="s">
        <v>1693</v>
      </c>
      <c r="L78" s="135" t="s">
        <v>1342</v>
      </c>
      <c r="M78" s="135" t="s">
        <v>1647</v>
      </c>
      <c r="N78" s="135" t="s">
        <v>1344</v>
      </c>
      <c r="O78" s="135" t="s">
        <v>1345</v>
      </c>
      <c r="P78" s="135" t="s">
        <v>1346</v>
      </c>
      <c r="Q78" s="138">
        <v>4228</v>
      </c>
      <c r="R78" s="135">
        <v>4288</v>
      </c>
      <c r="S78" s="135" t="s">
        <v>1366</v>
      </c>
      <c r="T78" s="135" t="s">
        <v>1448</v>
      </c>
      <c r="U78" s="135">
        <v>2</v>
      </c>
      <c r="V78" s="135">
        <v>1310</v>
      </c>
      <c r="W78" s="135">
        <v>1330</v>
      </c>
      <c r="X78" s="135" t="s">
        <v>1348</v>
      </c>
      <c r="Y78" s="135" t="s">
        <v>1369</v>
      </c>
      <c r="Z78" s="134" t="s">
        <v>1350</v>
      </c>
      <c r="AA78" s="134"/>
    </row>
    <row r="79" spans="1:27" ht="15" hidden="1">
      <c r="A79" s="135" t="s">
        <v>1466</v>
      </c>
      <c r="B79" s="135">
        <v>1</v>
      </c>
      <c r="C79" s="136">
        <v>1</v>
      </c>
      <c r="D79" s="135" t="s">
        <v>1694</v>
      </c>
      <c r="E79" s="135" t="s">
        <v>1695</v>
      </c>
      <c r="F79" s="135"/>
      <c r="G79" s="135">
        <v>20</v>
      </c>
      <c r="H79" s="137" t="s">
        <v>1696</v>
      </c>
      <c r="I79" s="135" t="s">
        <v>1364</v>
      </c>
      <c r="J79" s="137" t="s">
        <v>1340</v>
      </c>
      <c r="K79" s="135" t="s">
        <v>1697</v>
      </c>
      <c r="L79" s="135" t="s">
        <v>1342</v>
      </c>
      <c r="M79" s="135" t="s">
        <v>1647</v>
      </c>
      <c r="N79" s="135" t="s">
        <v>1344</v>
      </c>
      <c r="O79" s="135" t="s">
        <v>1345</v>
      </c>
      <c r="P79" s="135" t="s">
        <v>1346</v>
      </c>
      <c r="Q79" s="138">
        <v>1821</v>
      </c>
      <c r="R79" s="135">
        <v>1884</v>
      </c>
      <c r="S79" s="135" t="s">
        <v>1366</v>
      </c>
      <c r="T79" s="135" t="s">
        <v>1611</v>
      </c>
      <c r="U79" s="135">
        <v>4</v>
      </c>
      <c r="V79" s="135">
        <v>1390</v>
      </c>
      <c r="W79" s="135">
        <v>1410</v>
      </c>
      <c r="X79" s="135" t="s">
        <v>1386</v>
      </c>
      <c r="Y79" s="135" t="s">
        <v>1369</v>
      </c>
      <c r="Z79" s="134" t="s">
        <v>1350</v>
      </c>
      <c r="AA79" s="134"/>
    </row>
    <row r="80" spans="1:27" ht="15" hidden="1">
      <c r="A80" s="135" t="s">
        <v>1466</v>
      </c>
      <c r="B80" s="135">
        <v>1</v>
      </c>
      <c r="C80" s="136">
        <v>1</v>
      </c>
      <c r="D80" s="135" t="s">
        <v>1698</v>
      </c>
      <c r="E80" s="135" t="s">
        <v>1699</v>
      </c>
      <c r="F80" s="135"/>
      <c r="G80" s="135">
        <v>20</v>
      </c>
      <c r="H80" s="137" t="s">
        <v>1700</v>
      </c>
      <c r="I80" s="135" t="s">
        <v>1364</v>
      </c>
      <c r="J80" s="137" t="s">
        <v>1340</v>
      </c>
      <c r="K80" s="135" t="s">
        <v>1697</v>
      </c>
      <c r="L80" s="135" t="s">
        <v>1342</v>
      </c>
      <c r="M80" s="135" t="s">
        <v>1647</v>
      </c>
      <c r="N80" s="135" t="s">
        <v>1344</v>
      </c>
      <c r="O80" s="135" t="s">
        <v>1345</v>
      </c>
      <c r="P80" s="135" t="s">
        <v>1346</v>
      </c>
      <c r="Q80" s="138">
        <v>2713</v>
      </c>
      <c r="R80" s="135">
        <v>2816</v>
      </c>
      <c r="S80" s="135" t="s">
        <v>1366</v>
      </c>
      <c r="T80" s="135" t="s">
        <v>1611</v>
      </c>
      <c r="U80" s="135">
        <v>5</v>
      </c>
      <c r="V80" s="135">
        <v>1430</v>
      </c>
      <c r="W80" s="135">
        <v>1450</v>
      </c>
      <c r="X80" s="135" t="s">
        <v>1386</v>
      </c>
      <c r="Y80" s="135" t="s">
        <v>1369</v>
      </c>
      <c r="Z80" s="134" t="s">
        <v>1350</v>
      </c>
      <c r="AA80" s="134"/>
    </row>
    <row r="81" spans="1:27" ht="15" hidden="1">
      <c r="A81" s="135" t="s">
        <v>1466</v>
      </c>
      <c r="B81" s="135">
        <v>1</v>
      </c>
      <c r="C81" s="136">
        <v>1</v>
      </c>
      <c r="D81" s="135" t="s">
        <v>1701</v>
      </c>
      <c r="E81" s="135" t="s">
        <v>1702</v>
      </c>
      <c r="F81" s="135"/>
      <c r="G81" s="135">
        <v>20</v>
      </c>
      <c r="H81" s="137" t="s">
        <v>1703</v>
      </c>
      <c r="I81" s="135" t="s">
        <v>1364</v>
      </c>
      <c r="J81" s="137" t="s">
        <v>1340</v>
      </c>
      <c r="K81" s="135" t="s">
        <v>1470</v>
      </c>
      <c r="L81" s="135" t="s">
        <v>1342</v>
      </c>
      <c r="M81" s="135" t="s">
        <v>1647</v>
      </c>
      <c r="N81" s="135" t="s">
        <v>1344</v>
      </c>
      <c r="O81" s="135" t="s">
        <v>1345</v>
      </c>
      <c r="P81" s="135" t="s">
        <v>1346</v>
      </c>
      <c r="Q81" s="138">
        <v>1839</v>
      </c>
      <c r="R81" s="135">
        <v>1879</v>
      </c>
      <c r="S81" s="135" t="s">
        <v>1366</v>
      </c>
      <c r="T81" s="135" t="s">
        <v>1611</v>
      </c>
      <c r="U81" s="135">
        <v>1</v>
      </c>
      <c r="V81" s="135">
        <v>1270</v>
      </c>
      <c r="W81" s="135">
        <v>1290</v>
      </c>
      <c r="X81" s="135" t="s">
        <v>1386</v>
      </c>
      <c r="Y81" s="135" t="s">
        <v>1369</v>
      </c>
      <c r="Z81" s="134" t="s">
        <v>1350</v>
      </c>
      <c r="AA81" s="134"/>
    </row>
    <row r="82" spans="1:27" ht="15" hidden="1">
      <c r="A82" s="135" t="s">
        <v>1387</v>
      </c>
      <c r="B82" s="135">
        <v>6</v>
      </c>
      <c r="C82" s="136">
        <v>3</v>
      </c>
      <c r="D82" s="135" t="s">
        <v>1704</v>
      </c>
      <c r="E82" s="135" t="s">
        <v>1705</v>
      </c>
      <c r="F82" s="135"/>
      <c r="G82" s="135"/>
      <c r="H82" s="135"/>
      <c r="I82" s="135" t="s">
        <v>1339</v>
      </c>
      <c r="J82" s="137" t="s">
        <v>1340</v>
      </c>
      <c r="K82" s="135" t="s">
        <v>1392</v>
      </c>
      <c r="L82" s="135" t="s">
        <v>1342</v>
      </c>
      <c r="M82" s="135" t="s">
        <v>1647</v>
      </c>
      <c r="N82" s="135" t="s">
        <v>1344</v>
      </c>
      <c r="O82" s="135" t="s">
        <v>1345</v>
      </c>
      <c r="P82" s="135" t="s">
        <v>1346</v>
      </c>
      <c r="Q82" s="138">
        <v>1038</v>
      </c>
      <c r="R82" s="135">
        <v>1191</v>
      </c>
      <c r="S82" s="135" t="s">
        <v>1347</v>
      </c>
      <c r="T82" s="135">
        <v>0</v>
      </c>
      <c r="U82" s="135">
        <v>0</v>
      </c>
      <c r="V82" s="135">
        <v>0</v>
      </c>
      <c r="W82" s="135">
        <v>0</v>
      </c>
      <c r="X82" s="135" t="s">
        <v>1408</v>
      </c>
      <c r="Y82" s="135" t="s">
        <v>1416</v>
      </c>
      <c r="Z82" s="134" t="s">
        <v>1350</v>
      </c>
      <c r="AA82" s="134"/>
    </row>
    <row r="83" spans="1:27" ht="15" hidden="1">
      <c r="A83" s="135" t="s">
        <v>1597</v>
      </c>
      <c r="B83" s="135">
        <v>4</v>
      </c>
      <c r="C83" s="136">
        <v>1</v>
      </c>
      <c r="D83" s="135" t="s">
        <v>1706</v>
      </c>
      <c r="E83" s="135" t="s">
        <v>1707</v>
      </c>
      <c r="F83" s="135"/>
      <c r="G83" s="135"/>
      <c r="H83" s="135"/>
      <c r="I83" s="135" t="s">
        <v>1364</v>
      </c>
      <c r="J83" s="137" t="s">
        <v>1340</v>
      </c>
      <c r="K83" s="135" t="s">
        <v>1601</v>
      </c>
      <c r="L83" s="135" t="s">
        <v>1342</v>
      </c>
      <c r="M83" s="135" t="s">
        <v>1647</v>
      </c>
      <c r="N83" s="135" t="s">
        <v>1344</v>
      </c>
      <c r="O83" s="135" t="s">
        <v>1345</v>
      </c>
      <c r="P83" s="135" t="s">
        <v>1346</v>
      </c>
      <c r="Q83" s="138">
        <v>2924</v>
      </c>
      <c r="R83" s="135">
        <v>3002</v>
      </c>
      <c r="S83" s="135" t="s">
        <v>1366</v>
      </c>
      <c r="T83" s="135" t="s">
        <v>1367</v>
      </c>
      <c r="U83" s="135">
        <v>3</v>
      </c>
      <c r="V83" s="135">
        <v>1470</v>
      </c>
      <c r="W83" s="135">
        <v>1490</v>
      </c>
      <c r="X83" s="135" t="s">
        <v>1368</v>
      </c>
      <c r="Y83" s="135" t="s">
        <v>1369</v>
      </c>
      <c r="Z83" s="134" t="s">
        <v>1350</v>
      </c>
      <c r="AA83" s="134"/>
    </row>
    <row r="84" spans="1:27" ht="15" hidden="1">
      <c r="A84" s="135" t="s">
        <v>1387</v>
      </c>
      <c r="B84" s="135">
        <v>3</v>
      </c>
      <c r="C84" s="136">
        <v>1</v>
      </c>
      <c r="D84" s="135" t="s">
        <v>1708</v>
      </c>
      <c r="E84" s="135" t="s">
        <v>1709</v>
      </c>
      <c r="F84" s="135"/>
      <c r="G84" s="135"/>
      <c r="H84" s="135"/>
      <c r="I84" s="135" t="s">
        <v>1339</v>
      </c>
      <c r="J84" s="137" t="s">
        <v>1340</v>
      </c>
      <c r="K84" s="135" t="s">
        <v>1392</v>
      </c>
      <c r="L84" s="135" t="s">
        <v>1342</v>
      </c>
      <c r="M84" s="135" t="s">
        <v>1647</v>
      </c>
      <c r="N84" s="135" t="s">
        <v>1344</v>
      </c>
      <c r="O84" s="135" t="s">
        <v>1345</v>
      </c>
      <c r="P84" s="135" t="s">
        <v>1346</v>
      </c>
      <c r="Q84" s="138">
        <v>1504</v>
      </c>
      <c r="R84" s="135">
        <v>1538</v>
      </c>
      <c r="S84" s="135" t="s">
        <v>1347</v>
      </c>
      <c r="T84" s="135">
        <v>0</v>
      </c>
      <c r="U84" s="135">
        <v>0</v>
      </c>
      <c r="V84" s="135">
        <v>0</v>
      </c>
      <c r="W84" s="135">
        <v>0</v>
      </c>
      <c r="X84" s="135" t="s">
        <v>1393</v>
      </c>
      <c r="Y84" s="135" t="s">
        <v>1349</v>
      </c>
      <c r="Z84" s="134" t="s">
        <v>1350</v>
      </c>
      <c r="AA84" s="134"/>
    </row>
    <row r="85" spans="1:27" ht="15" hidden="1">
      <c r="A85" s="135" t="s">
        <v>1710</v>
      </c>
      <c r="B85" s="135">
        <v>5</v>
      </c>
      <c r="C85" s="136">
        <v>1</v>
      </c>
      <c r="D85" s="135" t="s">
        <v>1711</v>
      </c>
      <c r="E85" s="135" t="s">
        <v>1712</v>
      </c>
      <c r="F85" s="135"/>
      <c r="G85" s="135"/>
      <c r="H85" s="135"/>
      <c r="I85" s="135" t="s">
        <v>1364</v>
      </c>
      <c r="J85" s="137" t="s">
        <v>1340</v>
      </c>
      <c r="K85" s="135" t="s">
        <v>1713</v>
      </c>
      <c r="L85" s="135" t="s">
        <v>1342</v>
      </c>
      <c r="M85" s="135" t="s">
        <v>1647</v>
      </c>
      <c r="N85" s="135" t="s">
        <v>1344</v>
      </c>
      <c r="O85" s="135" t="s">
        <v>1345</v>
      </c>
      <c r="P85" s="135" t="s">
        <v>1346</v>
      </c>
      <c r="Q85" s="138">
        <v>2232</v>
      </c>
      <c r="R85" s="135">
        <v>2520</v>
      </c>
      <c r="S85" s="135" t="s">
        <v>1366</v>
      </c>
      <c r="T85" s="135" t="s">
        <v>1448</v>
      </c>
      <c r="U85" s="135">
        <v>1</v>
      </c>
      <c r="V85" s="135">
        <v>1270</v>
      </c>
      <c r="W85" s="135">
        <v>1290</v>
      </c>
      <c r="X85" s="135" t="s">
        <v>1348</v>
      </c>
      <c r="Y85" s="135" t="s">
        <v>1369</v>
      </c>
      <c r="Z85" s="134" t="s">
        <v>1350</v>
      </c>
      <c r="AA85" s="134"/>
    </row>
    <row r="86" spans="1:27" ht="15" hidden="1">
      <c r="A86" s="135" t="s">
        <v>1380</v>
      </c>
      <c r="B86" s="135">
        <v>6</v>
      </c>
      <c r="C86" s="136">
        <v>1</v>
      </c>
      <c r="D86" s="135" t="s">
        <v>1714</v>
      </c>
      <c r="E86" s="135" t="s">
        <v>1715</v>
      </c>
      <c r="F86" s="135"/>
      <c r="G86" s="135">
        <v>20</v>
      </c>
      <c r="H86" s="137" t="s">
        <v>1716</v>
      </c>
      <c r="I86" s="135" t="s">
        <v>1339</v>
      </c>
      <c r="J86" s="137" t="s">
        <v>1340</v>
      </c>
      <c r="K86" s="135" t="s">
        <v>1385</v>
      </c>
      <c r="L86" s="135" t="s">
        <v>1342</v>
      </c>
      <c r="M86" s="135" t="s">
        <v>1647</v>
      </c>
      <c r="N86" s="135" t="s">
        <v>1344</v>
      </c>
      <c r="O86" s="135" t="s">
        <v>1345</v>
      </c>
      <c r="P86" s="135" t="s">
        <v>1346</v>
      </c>
      <c r="Q86" s="138">
        <v>6444</v>
      </c>
      <c r="R86" s="135">
        <v>6489</v>
      </c>
      <c r="S86" s="135" t="s">
        <v>1347</v>
      </c>
      <c r="T86" s="135">
        <v>0</v>
      </c>
      <c r="U86" s="135">
        <v>0</v>
      </c>
      <c r="V86" s="135">
        <v>0</v>
      </c>
      <c r="W86" s="135">
        <v>0</v>
      </c>
      <c r="X86" s="135" t="s">
        <v>1408</v>
      </c>
      <c r="Y86" s="135" t="s">
        <v>1349</v>
      </c>
      <c r="Z86" s="134" t="s">
        <v>1350</v>
      </c>
      <c r="AA86" s="134"/>
    </row>
    <row r="87" spans="1:27" ht="15" hidden="1">
      <c r="A87" s="135" t="s">
        <v>1460</v>
      </c>
      <c r="B87" s="135">
        <v>6</v>
      </c>
      <c r="C87" s="136">
        <v>1</v>
      </c>
      <c r="D87" s="135" t="s">
        <v>1717</v>
      </c>
      <c r="E87" s="135" t="s">
        <v>1718</v>
      </c>
      <c r="F87" s="135"/>
      <c r="G87" s="135">
        <v>20</v>
      </c>
      <c r="H87" s="135">
        <v>-99.192999999999998</v>
      </c>
      <c r="I87" s="135" t="s">
        <v>1339</v>
      </c>
      <c r="J87" s="137" t="s">
        <v>1340</v>
      </c>
      <c r="K87" s="135" t="s">
        <v>1464</v>
      </c>
      <c r="L87" s="135" t="s">
        <v>1342</v>
      </c>
      <c r="M87" s="135" t="s">
        <v>1647</v>
      </c>
      <c r="N87" s="135" t="s">
        <v>1344</v>
      </c>
      <c r="O87" s="135" t="s">
        <v>1345</v>
      </c>
      <c r="P87" s="135" t="s">
        <v>1346</v>
      </c>
      <c r="Q87" s="138">
        <v>4662</v>
      </c>
      <c r="R87" s="135">
        <v>4830</v>
      </c>
      <c r="S87" s="135" t="s">
        <v>1347</v>
      </c>
      <c r="T87" s="135">
        <v>0</v>
      </c>
      <c r="U87" s="135">
        <v>0</v>
      </c>
      <c r="V87" s="135">
        <v>0</v>
      </c>
      <c r="W87" s="135">
        <v>0</v>
      </c>
      <c r="X87" s="135" t="s">
        <v>1408</v>
      </c>
      <c r="Y87" s="135" t="s">
        <v>1349</v>
      </c>
      <c r="Z87" s="134" t="s">
        <v>1350</v>
      </c>
      <c r="AA87" s="134"/>
    </row>
    <row r="88" spans="1:27" ht="15" hidden="1">
      <c r="A88" s="135" t="s">
        <v>1533</v>
      </c>
      <c r="B88" s="135">
        <v>5</v>
      </c>
      <c r="C88" s="136">
        <v>1</v>
      </c>
      <c r="D88" s="135" t="s">
        <v>1719</v>
      </c>
      <c r="E88" s="135" t="s">
        <v>1720</v>
      </c>
      <c r="F88" s="135"/>
      <c r="G88" s="135">
        <v>20</v>
      </c>
      <c r="H88" s="137" t="s">
        <v>1721</v>
      </c>
      <c r="I88" s="135" t="s">
        <v>1364</v>
      </c>
      <c r="J88" s="137" t="s">
        <v>1340</v>
      </c>
      <c r="K88" s="135" t="s">
        <v>1537</v>
      </c>
      <c r="L88" s="135" t="s">
        <v>1342</v>
      </c>
      <c r="M88" s="135" t="s">
        <v>1647</v>
      </c>
      <c r="N88" s="135" t="s">
        <v>1344</v>
      </c>
      <c r="O88" s="135" t="s">
        <v>1345</v>
      </c>
      <c r="P88" s="135" t="s">
        <v>1346</v>
      </c>
      <c r="Q88" s="138">
        <v>1804</v>
      </c>
      <c r="R88" s="135">
        <v>1856</v>
      </c>
      <c r="S88" s="135" t="s">
        <v>1366</v>
      </c>
      <c r="T88" s="135" t="s">
        <v>1448</v>
      </c>
      <c r="U88" s="135">
        <v>3</v>
      </c>
      <c r="V88" s="135">
        <v>1350</v>
      </c>
      <c r="W88" s="135">
        <v>1370</v>
      </c>
      <c r="X88" s="135" t="s">
        <v>1348</v>
      </c>
      <c r="Y88" s="135" t="s">
        <v>1369</v>
      </c>
      <c r="Z88" s="134" t="s">
        <v>1350</v>
      </c>
      <c r="AA88" s="134"/>
    </row>
    <row r="89" spans="1:27" ht="15" hidden="1">
      <c r="A89" s="135" t="s">
        <v>1466</v>
      </c>
      <c r="B89" s="135">
        <v>8</v>
      </c>
      <c r="C89" s="136">
        <v>1</v>
      </c>
      <c r="D89" s="135" t="s">
        <v>1722</v>
      </c>
      <c r="E89" s="135" t="s">
        <v>1723</v>
      </c>
      <c r="F89" s="135"/>
      <c r="G89" s="135">
        <v>20</v>
      </c>
      <c r="H89" s="137" t="s">
        <v>1724</v>
      </c>
      <c r="I89" s="135" t="s">
        <v>1339</v>
      </c>
      <c r="J89" s="137" t="s">
        <v>1340</v>
      </c>
      <c r="K89" s="135" t="s">
        <v>1697</v>
      </c>
      <c r="L89" s="135" t="s">
        <v>1342</v>
      </c>
      <c r="M89" s="135" t="s">
        <v>1647</v>
      </c>
      <c r="N89" s="135" t="s">
        <v>1344</v>
      </c>
      <c r="O89" s="135" t="s">
        <v>1345</v>
      </c>
      <c r="P89" s="135" t="s">
        <v>1346</v>
      </c>
      <c r="Q89" s="138">
        <v>3093</v>
      </c>
      <c r="R89" s="135">
        <v>3141</v>
      </c>
      <c r="S89" s="135" t="s">
        <v>1347</v>
      </c>
      <c r="T89" s="135">
        <v>0</v>
      </c>
      <c r="U89" s="135">
        <v>0</v>
      </c>
      <c r="V89" s="135">
        <v>0</v>
      </c>
      <c r="W89" s="135">
        <v>0</v>
      </c>
      <c r="X89" s="135" t="s">
        <v>1377</v>
      </c>
      <c r="Y89" s="135" t="s">
        <v>1349</v>
      </c>
      <c r="Z89" s="134" t="s">
        <v>1350</v>
      </c>
      <c r="AA89" s="134"/>
    </row>
    <row r="90" spans="1:27" ht="15" hidden="1">
      <c r="A90" s="135" t="s">
        <v>1725</v>
      </c>
      <c r="B90" s="135">
        <v>1</v>
      </c>
      <c r="C90" s="136">
        <v>1</v>
      </c>
      <c r="D90" s="135" t="s">
        <v>1726</v>
      </c>
      <c r="E90" s="135" t="s">
        <v>1727</v>
      </c>
      <c r="F90" s="135"/>
      <c r="G90" s="135">
        <v>20</v>
      </c>
      <c r="H90" s="137" t="s">
        <v>1728</v>
      </c>
      <c r="I90" s="135" t="s">
        <v>1339</v>
      </c>
      <c r="J90" s="137" t="s">
        <v>1340</v>
      </c>
      <c r="K90" s="135" t="s">
        <v>1729</v>
      </c>
      <c r="L90" s="135" t="s">
        <v>1342</v>
      </c>
      <c r="M90" s="135" t="s">
        <v>1647</v>
      </c>
      <c r="N90" s="135" t="s">
        <v>1344</v>
      </c>
      <c r="O90" s="135" t="s">
        <v>1345</v>
      </c>
      <c r="P90" s="135" t="s">
        <v>1346</v>
      </c>
      <c r="Q90" s="138">
        <v>11344</v>
      </c>
      <c r="R90" s="135">
        <v>11384</v>
      </c>
      <c r="S90" s="135" t="s">
        <v>1347</v>
      </c>
      <c r="T90" s="135">
        <v>0</v>
      </c>
      <c r="U90" s="135">
        <v>0</v>
      </c>
      <c r="V90" s="135">
        <v>0</v>
      </c>
      <c r="W90" s="135">
        <v>0</v>
      </c>
      <c r="X90" s="135" t="s">
        <v>1386</v>
      </c>
      <c r="Y90" s="135" t="s">
        <v>1349</v>
      </c>
      <c r="Z90" s="134" t="s">
        <v>1350</v>
      </c>
      <c r="AA90" s="134"/>
    </row>
    <row r="91" spans="1:27" ht="15" hidden="1">
      <c r="A91" s="135" t="s">
        <v>1725</v>
      </c>
      <c r="B91" s="135">
        <v>4</v>
      </c>
      <c r="C91" s="136">
        <v>1</v>
      </c>
      <c r="D91" s="135" t="s">
        <v>1730</v>
      </c>
      <c r="E91" s="135" t="s">
        <v>1731</v>
      </c>
      <c r="F91" s="135"/>
      <c r="G91" s="135">
        <v>20</v>
      </c>
      <c r="H91" s="137" t="s">
        <v>1732</v>
      </c>
      <c r="I91" s="135" t="s">
        <v>1339</v>
      </c>
      <c r="J91" s="137" t="s">
        <v>1340</v>
      </c>
      <c r="K91" s="135" t="s">
        <v>1733</v>
      </c>
      <c r="L91" s="135" t="s">
        <v>1342</v>
      </c>
      <c r="M91" s="135" t="s">
        <v>1647</v>
      </c>
      <c r="N91" s="135" t="s">
        <v>1344</v>
      </c>
      <c r="O91" s="135" t="s">
        <v>1345</v>
      </c>
      <c r="P91" s="135" t="s">
        <v>1346</v>
      </c>
      <c r="Q91" s="138">
        <v>12051</v>
      </c>
      <c r="R91" s="135">
        <v>12089</v>
      </c>
      <c r="S91" s="135" t="s">
        <v>1347</v>
      </c>
      <c r="T91" s="135">
        <v>0</v>
      </c>
      <c r="U91" s="135">
        <v>0</v>
      </c>
      <c r="V91" s="135">
        <v>0</v>
      </c>
      <c r="W91" s="135">
        <v>0</v>
      </c>
      <c r="X91" s="135" t="s">
        <v>1368</v>
      </c>
      <c r="Y91" s="135" t="s">
        <v>1349</v>
      </c>
      <c r="Z91" s="134" t="s">
        <v>1350</v>
      </c>
      <c r="AA91" s="134"/>
    </row>
    <row r="92" spans="1:27" ht="15" hidden="1">
      <c r="A92" s="135" t="s">
        <v>1597</v>
      </c>
      <c r="B92" s="135">
        <v>3</v>
      </c>
      <c r="C92" s="136">
        <v>1</v>
      </c>
      <c r="D92" s="135" t="s">
        <v>1734</v>
      </c>
      <c r="E92" s="135" t="s">
        <v>1735</v>
      </c>
      <c r="F92" s="135"/>
      <c r="G92" s="135"/>
      <c r="H92" s="135"/>
      <c r="I92" s="135" t="s">
        <v>1364</v>
      </c>
      <c r="J92" s="137" t="s">
        <v>1340</v>
      </c>
      <c r="K92" s="135" t="s">
        <v>1736</v>
      </c>
      <c r="L92" s="135" t="s">
        <v>1342</v>
      </c>
      <c r="M92" s="135" t="s">
        <v>1647</v>
      </c>
      <c r="N92" s="135" t="s">
        <v>1344</v>
      </c>
      <c r="O92" s="135" t="s">
        <v>1345</v>
      </c>
      <c r="P92" s="135" t="s">
        <v>1346</v>
      </c>
      <c r="Q92" s="138">
        <v>1223</v>
      </c>
      <c r="R92" s="135">
        <v>1368</v>
      </c>
      <c r="S92" s="135" t="s">
        <v>1366</v>
      </c>
      <c r="T92" s="135" t="s">
        <v>1481</v>
      </c>
      <c r="U92" s="135">
        <v>2</v>
      </c>
      <c r="V92" s="135">
        <v>1470</v>
      </c>
      <c r="W92" s="135">
        <v>1490</v>
      </c>
      <c r="X92" s="135" t="s">
        <v>1393</v>
      </c>
      <c r="Y92" s="135" t="s">
        <v>1369</v>
      </c>
      <c r="Z92" s="134" t="s">
        <v>1350</v>
      </c>
      <c r="AA92" s="134"/>
    </row>
    <row r="93" spans="1:27" ht="15" hidden="1">
      <c r="A93" s="135" t="s">
        <v>1533</v>
      </c>
      <c r="B93" s="135">
        <v>5</v>
      </c>
      <c r="C93" s="136">
        <v>1</v>
      </c>
      <c r="D93" s="135" t="s">
        <v>1737</v>
      </c>
      <c r="E93" s="135" t="s">
        <v>1738</v>
      </c>
      <c r="F93" s="135"/>
      <c r="G93" s="135">
        <v>20</v>
      </c>
      <c r="H93" s="137" t="s">
        <v>1739</v>
      </c>
      <c r="I93" s="135" t="s">
        <v>1364</v>
      </c>
      <c r="J93" s="137" t="s">
        <v>1340</v>
      </c>
      <c r="K93" s="135" t="s">
        <v>1537</v>
      </c>
      <c r="L93" s="135" t="s">
        <v>1342</v>
      </c>
      <c r="M93" s="135" t="s">
        <v>1647</v>
      </c>
      <c r="N93" s="135" t="s">
        <v>1344</v>
      </c>
      <c r="O93" s="135" t="s">
        <v>1345</v>
      </c>
      <c r="P93" s="135" t="s">
        <v>1346</v>
      </c>
      <c r="Q93" s="138">
        <v>1804</v>
      </c>
      <c r="R93" s="135">
        <v>1829</v>
      </c>
      <c r="S93" s="135" t="s">
        <v>1366</v>
      </c>
      <c r="T93" s="135" t="s">
        <v>1448</v>
      </c>
      <c r="U93" s="135">
        <v>2</v>
      </c>
      <c r="V93" s="135">
        <v>1310</v>
      </c>
      <c r="W93" s="135">
        <v>1330</v>
      </c>
      <c r="X93" s="135" t="s">
        <v>1348</v>
      </c>
      <c r="Y93" s="135" t="s">
        <v>1369</v>
      </c>
      <c r="Z93" s="134" t="s">
        <v>1350</v>
      </c>
      <c r="AA93" s="134"/>
    </row>
    <row r="94" spans="1:27" ht="15" hidden="1">
      <c r="A94" s="135" t="s">
        <v>1466</v>
      </c>
      <c r="B94" s="135">
        <v>2</v>
      </c>
      <c r="C94" s="136">
        <v>1</v>
      </c>
      <c r="D94" s="135" t="s">
        <v>1740</v>
      </c>
      <c r="E94" s="135" t="s">
        <v>1741</v>
      </c>
      <c r="F94" s="135"/>
      <c r="G94" s="135">
        <v>20</v>
      </c>
      <c r="H94" s="135">
        <v>-992.09199999999998</v>
      </c>
      <c r="I94" s="135" t="s">
        <v>1364</v>
      </c>
      <c r="J94" s="137" t="s">
        <v>1340</v>
      </c>
      <c r="K94" s="135" t="s">
        <v>1470</v>
      </c>
      <c r="L94" s="135" t="s">
        <v>1342</v>
      </c>
      <c r="M94" s="135" t="s">
        <v>1647</v>
      </c>
      <c r="N94" s="135" t="s">
        <v>1344</v>
      </c>
      <c r="O94" s="135" t="s">
        <v>1345</v>
      </c>
      <c r="P94" s="135" t="s">
        <v>1346</v>
      </c>
      <c r="Q94" s="138">
        <v>3612</v>
      </c>
      <c r="R94" s="135">
        <v>3754</v>
      </c>
      <c r="S94" s="135" t="s">
        <v>1366</v>
      </c>
      <c r="T94" s="135" t="s">
        <v>1606</v>
      </c>
      <c r="U94" s="135">
        <v>1</v>
      </c>
      <c r="V94" s="135">
        <v>1270</v>
      </c>
      <c r="W94" s="135">
        <v>1290</v>
      </c>
      <c r="X94" s="135" t="s">
        <v>1443</v>
      </c>
      <c r="Y94" s="135" t="s">
        <v>1369</v>
      </c>
      <c r="Z94" s="134" t="s">
        <v>1350</v>
      </c>
      <c r="AA94" s="134"/>
    </row>
    <row r="95" spans="1:27" ht="15" hidden="1">
      <c r="A95" s="135" t="s">
        <v>1466</v>
      </c>
      <c r="B95" s="135">
        <v>2</v>
      </c>
      <c r="C95" s="136">
        <v>1</v>
      </c>
      <c r="D95" s="135" t="s">
        <v>1742</v>
      </c>
      <c r="E95" s="135" t="s">
        <v>1743</v>
      </c>
      <c r="F95" s="135"/>
      <c r="G95" s="135">
        <v>20</v>
      </c>
      <c r="H95" s="135">
        <v>-992.07399999999996</v>
      </c>
      <c r="I95" s="135" t="s">
        <v>1364</v>
      </c>
      <c r="J95" s="137" t="s">
        <v>1340</v>
      </c>
      <c r="K95" s="135" t="s">
        <v>1470</v>
      </c>
      <c r="L95" s="135" t="s">
        <v>1342</v>
      </c>
      <c r="M95" s="135" t="s">
        <v>1647</v>
      </c>
      <c r="N95" s="135" t="s">
        <v>1344</v>
      </c>
      <c r="O95" s="135" t="s">
        <v>1345</v>
      </c>
      <c r="P95" s="135" t="s">
        <v>1346</v>
      </c>
      <c r="Q95" s="138">
        <v>4133</v>
      </c>
      <c r="R95" s="135">
        <v>4151</v>
      </c>
      <c r="S95" s="135" t="s">
        <v>1366</v>
      </c>
      <c r="T95" s="135" t="s">
        <v>1606</v>
      </c>
      <c r="U95" s="135">
        <v>3</v>
      </c>
      <c r="V95" s="135">
        <v>1350</v>
      </c>
      <c r="W95" s="135">
        <v>1370</v>
      </c>
      <c r="X95" s="135" t="s">
        <v>1443</v>
      </c>
      <c r="Y95" s="135" t="s">
        <v>1369</v>
      </c>
      <c r="Z95" s="134" t="s">
        <v>1350</v>
      </c>
      <c r="AA95" s="134"/>
    </row>
    <row r="96" spans="1:27" ht="15" hidden="1">
      <c r="A96" s="135" t="s">
        <v>1466</v>
      </c>
      <c r="B96" s="135">
        <v>5</v>
      </c>
      <c r="C96" s="136">
        <v>1</v>
      </c>
      <c r="D96" s="135" t="s">
        <v>1744</v>
      </c>
      <c r="E96" s="135" t="s">
        <v>1745</v>
      </c>
      <c r="F96" s="135"/>
      <c r="G96" s="135">
        <v>20</v>
      </c>
      <c r="H96" s="135">
        <v>-992.03800000000001</v>
      </c>
      <c r="I96" s="135" t="s">
        <v>1364</v>
      </c>
      <c r="J96" s="137" t="s">
        <v>1340</v>
      </c>
      <c r="K96" s="135" t="s">
        <v>1470</v>
      </c>
      <c r="L96" s="135" t="s">
        <v>1342</v>
      </c>
      <c r="M96" s="135" t="s">
        <v>1647</v>
      </c>
      <c r="N96" s="135" t="s">
        <v>1344</v>
      </c>
      <c r="O96" s="135" t="s">
        <v>1345</v>
      </c>
      <c r="P96" s="135" t="s">
        <v>1346</v>
      </c>
      <c r="Q96" s="135" t="s">
        <v>1746</v>
      </c>
      <c r="R96" s="135">
        <v>4503</v>
      </c>
      <c r="S96" s="135" t="s">
        <v>1366</v>
      </c>
      <c r="T96" s="135" t="s">
        <v>1448</v>
      </c>
      <c r="U96" s="135">
        <v>1</v>
      </c>
      <c r="V96" s="135">
        <v>1270</v>
      </c>
      <c r="W96" s="135">
        <v>1290</v>
      </c>
      <c r="X96" s="135" t="s">
        <v>1348</v>
      </c>
      <c r="Y96" s="135" t="s">
        <v>1369</v>
      </c>
      <c r="Z96" s="134" t="s">
        <v>1350</v>
      </c>
      <c r="AA96" s="134"/>
    </row>
    <row r="97" spans="1:27" ht="15" hidden="1">
      <c r="A97" s="135" t="s">
        <v>1466</v>
      </c>
      <c r="B97" s="135">
        <v>1</v>
      </c>
      <c r="C97" s="136">
        <v>1</v>
      </c>
      <c r="D97" s="135" t="s">
        <v>1747</v>
      </c>
      <c r="E97" s="135" t="s">
        <v>1748</v>
      </c>
      <c r="F97" s="135"/>
      <c r="G97" s="135">
        <v>20</v>
      </c>
      <c r="H97" s="137" t="s">
        <v>1749</v>
      </c>
      <c r="I97" s="135" t="s">
        <v>1364</v>
      </c>
      <c r="J97" s="137" t="s">
        <v>1340</v>
      </c>
      <c r="K97" s="135" t="s">
        <v>1470</v>
      </c>
      <c r="L97" s="135" t="s">
        <v>1342</v>
      </c>
      <c r="M97" s="135" t="s">
        <v>1647</v>
      </c>
      <c r="N97" s="135" t="s">
        <v>1344</v>
      </c>
      <c r="O97" s="135" t="s">
        <v>1345</v>
      </c>
      <c r="P97" s="135" t="s">
        <v>1346</v>
      </c>
      <c r="Q97" s="138">
        <v>1839</v>
      </c>
      <c r="R97" s="135">
        <v>1909</v>
      </c>
      <c r="S97" s="135" t="s">
        <v>1366</v>
      </c>
      <c r="T97" s="135" t="s">
        <v>1611</v>
      </c>
      <c r="U97" s="135">
        <v>2</v>
      </c>
      <c r="V97" s="135">
        <v>1310</v>
      </c>
      <c r="W97" s="135">
        <v>1330</v>
      </c>
      <c r="X97" s="135" t="s">
        <v>1386</v>
      </c>
      <c r="Y97" s="135" t="s">
        <v>1369</v>
      </c>
      <c r="Z97" s="134" t="s">
        <v>1350</v>
      </c>
      <c r="AA97" s="134"/>
    </row>
    <row r="98" spans="1:27" ht="15" hidden="1">
      <c r="A98" s="135" t="s">
        <v>1533</v>
      </c>
      <c r="B98" s="135">
        <v>5</v>
      </c>
      <c r="C98" s="136">
        <v>1</v>
      </c>
      <c r="D98" s="135" t="s">
        <v>1750</v>
      </c>
      <c r="E98" s="135" t="s">
        <v>1751</v>
      </c>
      <c r="F98" s="135"/>
      <c r="G98" s="135">
        <v>20</v>
      </c>
      <c r="H98" s="135">
        <v>-992.06500000000005</v>
      </c>
      <c r="I98" s="135" t="s">
        <v>1364</v>
      </c>
      <c r="J98" s="137" t="s">
        <v>1340</v>
      </c>
      <c r="K98" s="135" t="s">
        <v>1537</v>
      </c>
      <c r="L98" s="135" t="s">
        <v>1342</v>
      </c>
      <c r="M98" s="135" t="s">
        <v>1647</v>
      </c>
      <c r="N98" s="135" t="s">
        <v>1344</v>
      </c>
      <c r="O98" s="135" t="s">
        <v>1345</v>
      </c>
      <c r="P98" s="135" t="s">
        <v>1346</v>
      </c>
      <c r="Q98" s="138">
        <v>1804</v>
      </c>
      <c r="R98" s="135">
        <v>1895</v>
      </c>
      <c r="S98" s="135" t="s">
        <v>1366</v>
      </c>
      <c r="T98" s="135" t="s">
        <v>1448</v>
      </c>
      <c r="U98" s="135">
        <v>5</v>
      </c>
      <c r="V98" s="135">
        <v>1430</v>
      </c>
      <c r="W98" s="135">
        <v>1450</v>
      </c>
      <c r="X98" s="135" t="s">
        <v>1348</v>
      </c>
      <c r="Y98" s="135" t="s">
        <v>1369</v>
      </c>
      <c r="Z98" s="134" t="s">
        <v>1350</v>
      </c>
      <c r="AA98" s="134"/>
    </row>
    <row r="99" spans="1:27" ht="15" hidden="1">
      <c r="A99" s="135" t="s">
        <v>1387</v>
      </c>
      <c r="B99" s="135">
        <v>3</v>
      </c>
      <c r="C99" s="136">
        <v>1</v>
      </c>
      <c r="D99" s="135" t="s">
        <v>1752</v>
      </c>
      <c r="E99" s="135" t="s">
        <v>1753</v>
      </c>
      <c r="F99" s="135"/>
      <c r="G99" s="135">
        <v>20</v>
      </c>
      <c r="H99" s="137" t="s">
        <v>1754</v>
      </c>
      <c r="I99" s="135" t="s">
        <v>1339</v>
      </c>
      <c r="J99" s="137" t="s">
        <v>1340</v>
      </c>
      <c r="K99" s="135" t="s">
        <v>1392</v>
      </c>
      <c r="L99" s="135" t="s">
        <v>1342</v>
      </c>
      <c r="M99" s="135" t="s">
        <v>1647</v>
      </c>
      <c r="N99" s="135" t="s">
        <v>1344</v>
      </c>
      <c r="O99" s="135" t="s">
        <v>1345</v>
      </c>
      <c r="P99" s="135" t="s">
        <v>1346</v>
      </c>
      <c r="Q99" s="135" t="s">
        <v>1755</v>
      </c>
      <c r="R99" s="135">
        <v>1942</v>
      </c>
      <c r="S99" s="135" t="s">
        <v>1347</v>
      </c>
      <c r="T99" s="135">
        <v>0</v>
      </c>
      <c r="U99" s="135">
        <v>0</v>
      </c>
      <c r="V99" s="135">
        <v>0</v>
      </c>
      <c r="W99" s="135">
        <v>0</v>
      </c>
      <c r="X99" s="135" t="s">
        <v>1393</v>
      </c>
      <c r="Y99" s="135" t="s">
        <v>1349</v>
      </c>
      <c r="Z99" s="134" t="s">
        <v>1350</v>
      </c>
      <c r="AA99" s="134"/>
    </row>
    <row r="100" spans="1:27" ht="15" hidden="1">
      <c r="A100" s="135" t="s">
        <v>1533</v>
      </c>
      <c r="B100" s="135">
        <v>5</v>
      </c>
      <c r="C100" s="136">
        <v>1</v>
      </c>
      <c r="D100" s="135" t="s">
        <v>1756</v>
      </c>
      <c r="E100" s="135" t="s">
        <v>1757</v>
      </c>
      <c r="F100" s="135"/>
      <c r="G100" s="135">
        <v>20</v>
      </c>
      <c r="H100" s="137" t="s">
        <v>1758</v>
      </c>
      <c r="I100" s="135" t="s">
        <v>1364</v>
      </c>
      <c r="J100" s="137" t="s">
        <v>1340</v>
      </c>
      <c r="K100" s="135" t="s">
        <v>1537</v>
      </c>
      <c r="L100" s="135" t="s">
        <v>1342</v>
      </c>
      <c r="M100" s="135" t="s">
        <v>1647</v>
      </c>
      <c r="N100" s="135" t="s">
        <v>1344</v>
      </c>
      <c r="O100" s="135" t="s">
        <v>1345</v>
      </c>
      <c r="P100" s="135" t="s">
        <v>1346</v>
      </c>
      <c r="Q100" s="138">
        <v>1804</v>
      </c>
      <c r="R100" s="135">
        <v>1985</v>
      </c>
      <c r="S100" s="135" t="s">
        <v>1366</v>
      </c>
      <c r="T100" s="135" t="s">
        <v>1448</v>
      </c>
      <c r="U100" s="135">
        <v>4</v>
      </c>
      <c r="V100" s="135">
        <v>1390</v>
      </c>
      <c r="W100" s="135">
        <v>1410</v>
      </c>
      <c r="X100" s="135" t="s">
        <v>1348</v>
      </c>
      <c r="Y100" s="135" t="s">
        <v>1369</v>
      </c>
      <c r="Z100" s="134" t="s">
        <v>1350</v>
      </c>
      <c r="AA100" s="134"/>
    </row>
    <row r="101" spans="1:27" ht="15" hidden="1">
      <c r="A101" s="135" t="s">
        <v>1533</v>
      </c>
      <c r="B101" s="135">
        <v>5</v>
      </c>
      <c r="C101" s="136">
        <v>1</v>
      </c>
      <c r="D101" s="135" t="s">
        <v>1759</v>
      </c>
      <c r="E101" s="135" t="s">
        <v>1760</v>
      </c>
      <c r="F101" s="135"/>
      <c r="G101" s="135">
        <v>20</v>
      </c>
      <c r="H101" s="137" t="s">
        <v>1761</v>
      </c>
      <c r="I101" s="135" t="s">
        <v>1364</v>
      </c>
      <c r="J101" s="137" t="s">
        <v>1340</v>
      </c>
      <c r="K101" s="135" t="s">
        <v>1537</v>
      </c>
      <c r="L101" s="135" t="s">
        <v>1342</v>
      </c>
      <c r="M101" s="135" t="s">
        <v>1647</v>
      </c>
      <c r="N101" s="135" t="s">
        <v>1344</v>
      </c>
      <c r="O101" s="135" t="s">
        <v>1345</v>
      </c>
      <c r="P101" s="135" t="s">
        <v>1346</v>
      </c>
      <c r="Q101" s="138">
        <v>1679</v>
      </c>
      <c r="R101" s="135">
        <v>2153</v>
      </c>
      <c r="S101" s="135" t="s">
        <v>1366</v>
      </c>
      <c r="T101" s="135" t="s">
        <v>1448</v>
      </c>
      <c r="U101" s="135">
        <v>1</v>
      </c>
      <c r="V101" s="135">
        <v>1270</v>
      </c>
      <c r="W101" s="135">
        <v>1290</v>
      </c>
      <c r="X101" s="135" t="s">
        <v>1348</v>
      </c>
      <c r="Y101" s="135" t="s">
        <v>1369</v>
      </c>
      <c r="Z101" s="134" t="s">
        <v>1350</v>
      </c>
      <c r="AA101" s="134"/>
    </row>
    <row r="102" spans="1:27" ht="15" hidden="1">
      <c r="A102" s="135" t="s">
        <v>1387</v>
      </c>
      <c r="B102" s="135">
        <v>6</v>
      </c>
      <c r="C102" s="136">
        <v>1</v>
      </c>
      <c r="D102" s="135" t="s">
        <v>1762</v>
      </c>
      <c r="E102" s="135" t="s">
        <v>1763</v>
      </c>
      <c r="F102" s="135"/>
      <c r="G102" s="135"/>
      <c r="H102" s="135"/>
      <c r="I102" s="135" t="s">
        <v>1339</v>
      </c>
      <c r="J102" s="137" t="s">
        <v>1340</v>
      </c>
      <c r="K102" s="135" t="s">
        <v>1764</v>
      </c>
      <c r="L102" s="135" t="s">
        <v>1342</v>
      </c>
      <c r="M102" s="135" t="s">
        <v>1647</v>
      </c>
      <c r="N102" s="135" t="s">
        <v>1344</v>
      </c>
      <c r="O102" s="135" t="s">
        <v>1345</v>
      </c>
      <c r="P102" s="135" t="s">
        <v>1346</v>
      </c>
      <c r="Q102" s="138">
        <v>1594</v>
      </c>
      <c r="R102" s="135">
        <v>1795</v>
      </c>
      <c r="S102" s="135" t="s">
        <v>1347</v>
      </c>
      <c r="T102" s="135">
        <v>0</v>
      </c>
      <c r="U102" s="135">
        <v>0</v>
      </c>
      <c r="V102" s="135">
        <v>0</v>
      </c>
      <c r="W102" s="135">
        <v>0</v>
      </c>
      <c r="X102" s="135" t="s">
        <v>1408</v>
      </c>
      <c r="Y102" s="135" t="s">
        <v>1349</v>
      </c>
      <c r="Z102" s="134" t="s">
        <v>1350</v>
      </c>
      <c r="AA102" s="134"/>
    </row>
    <row r="103" spans="1:27" ht="15" hidden="1">
      <c r="A103" s="135" t="s">
        <v>1460</v>
      </c>
      <c r="B103" s="135">
        <v>3</v>
      </c>
      <c r="C103" s="136">
        <v>3</v>
      </c>
      <c r="D103" s="135" t="s">
        <v>1765</v>
      </c>
      <c r="E103" s="135" t="s">
        <v>1683</v>
      </c>
      <c r="F103" s="135"/>
      <c r="G103" s="135"/>
      <c r="H103" s="135"/>
      <c r="I103" s="135" t="s">
        <v>1339</v>
      </c>
      <c r="J103" s="137" t="s">
        <v>1340</v>
      </c>
      <c r="K103" s="135" t="s">
        <v>1464</v>
      </c>
      <c r="L103" s="135" t="s">
        <v>1342</v>
      </c>
      <c r="M103" s="135" t="s">
        <v>1647</v>
      </c>
      <c r="N103" s="135" t="s">
        <v>1344</v>
      </c>
      <c r="O103" s="135" t="s">
        <v>1345</v>
      </c>
      <c r="P103" s="135" t="s">
        <v>1346</v>
      </c>
      <c r="Q103" s="138">
        <v>3471</v>
      </c>
      <c r="R103" s="135">
        <v>3523</v>
      </c>
      <c r="S103" s="135" t="s">
        <v>1347</v>
      </c>
      <c r="T103" s="135">
        <v>0</v>
      </c>
      <c r="U103" s="135">
        <v>0</v>
      </c>
      <c r="V103" s="135">
        <v>0</v>
      </c>
      <c r="W103" s="135">
        <v>0</v>
      </c>
      <c r="X103" s="135" t="s">
        <v>1393</v>
      </c>
      <c r="Y103" s="135" t="s">
        <v>1416</v>
      </c>
      <c r="Z103" s="134" t="s">
        <v>1350</v>
      </c>
      <c r="AA103" s="134"/>
    </row>
    <row r="104" spans="1:27" ht="15" hidden="1">
      <c r="A104" s="135" t="s">
        <v>1460</v>
      </c>
      <c r="B104" s="135">
        <v>3</v>
      </c>
      <c r="C104" s="136">
        <v>1</v>
      </c>
      <c r="D104" s="135" t="s">
        <v>1766</v>
      </c>
      <c r="E104" s="135" t="s">
        <v>1767</v>
      </c>
      <c r="F104" s="135"/>
      <c r="G104" s="135"/>
      <c r="H104" s="135"/>
      <c r="I104" s="135" t="s">
        <v>1339</v>
      </c>
      <c r="J104" s="137" t="s">
        <v>1340</v>
      </c>
      <c r="K104" s="135" t="s">
        <v>1464</v>
      </c>
      <c r="L104" s="135" t="s">
        <v>1342</v>
      </c>
      <c r="M104" s="135" t="s">
        <v>1647</v>
      </c>
      <c r="N104" s="135" t="s">
        <v>1344</v>
      </c>
      <c r="O104" s="135" t="s">
        <v>1345</v>
      </c>
      <c r="P104" s="135" t="s">
        <v>1346</v>
      </c>
      <c r="Q104" s="138">
        <v>3484</v>
      </c>
      <c r="R104" s="135">
        <v>3615</v>
      </c>
      <c r="S104" s="135" t="s">
        <v>1347</v>
      </c>
      <c r="T104" s="135">
        <v>0</v>
      </c>
      <c r="U104" s="135">
        <v>0</v>
      </c>
      <c r="V104" s="135">
        <v>0</v>
      </c>
      <c r="W104" s="135">
        <v>0</v>
      </c>
      <c r="X104" s="135" t="s">
        <v>1393</v>
      </c>
      <c r="Y104" s="135" t="s">
        <v>1349</v>
      </c>
      <c r="Z104" s="134" t="s">
        <v>1350</v>
      </c>
      <c r="AA104" s="134"/>
    </row>
    <row r="105" spans="1:27" ht="15" hidden="1">
      <c r="A105" s="135" t="s">
        <v>1351</v>
      </c>
      <c r="B105" s="135">
        <v>1</v>
      </c>
      <c r="C105" s="136">
        <v>1</v>
      </c>
      <c r="D105" s="135" t="s">
        <v>1768</v>
      </c>
      <c r="E105" s="135" t="s">
        <v>1769</v>
      </c>
      <c r="F105" s="135"/>
      <c r="G105" s="135">
        <v>20</v>
      </c>
      <c r="H105" s="135"/>
      <c r="I105" s="135" t="s">
        <v>1364</v>
      </c>
      <c r="J105" s="137" t="s">
        <v>1340</v>
      </c>
      <c r="K105" s="135" t="s">
        <v>1356</v>
      </c>
      <c r="L105" s="135" t="s">
        <v>1342</v>
      </c>
      <c r="M105" s="135" t="s">
        <v>1647</v>
      </c>
      <c r="N105" s="135" t="s">
        <v>1344</v>
      </c>
      <c r="O105" s="135" t="s">
        <v>1345</v>
      </c>
      <c r="P105" s="135" t="s">
        <v>1346</v>
      </c>
      <c r="Q105" s="138">
        <v>5029</v>
      </c>
      <c r="R105" s="135">
        <v>5591</v>
      </c>
      <c r="S105" s="135" t="s">
        <v>1366</v>
      </c>
      <c r="T105" s="135" t="s">
        <v>1611</v>
      </c>
      <c r="U105" s="135">
        <v>4</v>
      </c>
      <c r="V105" s="135">
        <v>1390</v>
      </c>
      <c r="W105" s="135">
        <v>1410</v>
      </c>
      <c r="X105" s="135" t="s">
        <v>1386</v>
      </c>
      <c r="Y105" s="135" t="s">
        <v>1369</v>
      </c>
      <c r="Z105" s="134" t="s">
        <v>1350</v>
      </c>
      <c r="AA105" s="134"/>
    </row>
    <row r="106" spans="1:27" ht="15" hidden="1">
      <c r="A106" s="135" t="s">
        <v>1351</v>
      </c>
      <c r="B106" s="135">
        <v>1</v>
      </c>
      <c r="C106" s="136">
        <v>1</v>
      </c>
      <c r="D106" s="135" t="s">
        <v>1770</v>
      </c>
      <c r="E106" s="135" t="s">
        <v>1771</v>
      </c>
      <c r="F106" s="135"/>
      <c r="G106" s="135">
        <v>20</v>
      </c>
      <c r="H106" s="135"/>
      <c r="I106" s="135" t="s">
        <v>1364</v>
      </c>
      <c r="J106" s="137" t="s">
        <v>1340</v>
      </c>
      <c r="K106" s="135" t="s">
        <v>1356</v>
      </c>
      <c r="L106" s="135" t="s">
        <v>1342</v>
      </c>
      <c r="M106" s="135" t="s">
        <v>1647</v>
      </c>
      <c r="N106" s="135" t="s">
        <v>1344</v>
      </c>
      <c r="O106" s="135" t="s">
        <v>1345</v>
      </c>
      <c r="P106" s="135" t="s">
        <v>1346</v>
      </c>
      <c r="Q106" s="135" t="s">
        <v>1772</v>
      </c>
      <c r="R106" s="135">
        <v>3672</v>
      </c>
      <c r="S106" s="135" t="s">
        <v>1366</v>
      </c>
      <c r="T106" s="135" t="s">
        <v>1611</v>
      </c>
      <c r="U106" s="135">
        <v>2</v>
      </c>
      <c r="V106" s="135">
        <v>1310</v>
      </c>
      <c r="W106" s="135">
        <v>1330</v>
      </c>
      <c r="X106" s="135" t="s">
        <v>1386</v>
      </c>
      <c r="Y106" s="135" t="s">
        <v>1369</v>
      </c>
      <c r="Z106" s="134" t="s">
        <v>1350</v>
      </c>
      <c r="AA106" s="134"/>
    </row>
    <row r="107" spans="1:27" ht="15" hidden="1">
      <c r="A107" s="135" t="s">
        <v>1351</v>
      </c>
      <c r="B107" s="135">
        <v>1</v>
      </c>
      <c r="C107" s="136">
        <v>1</v>
      </c>
      <c r="D107" s="135" t="s">
        <v>1773</v>
      </c>
      <c r="E107" s="135" t="s">
        <v>1774</v>
      </c>
      <c r="F107" s="135"/>
      <c r="G107" s="135">
        <v>20</v>
      </c>
      <c r="H107" s="135"/>
      <c r="I107" s="135" t="s">
        <v>1364</v>
      </c>
      <c r="J107" s="137" t="s">
        <v>1340</v>
      </c>
      <c r="K107" s="135" t="s">
        <v>1356</v>
      </c>
      <c r="L107" s="135" t="s">
        <v>1342</v>
      </c>
      <c r="M107" s="135" t="s">
        <v>1647</v>
      </c>
      <c r="N107" s="135" t="s">
        <v>1344</v>
      </c>
      <c r="O107" s="135" t="s">
        <v>1345</v>
      </c>
      <c r="P107" s="135" t="s">
        <v>1346</v>
      </c>
      <c r="Q107" s="138">
        <v>2753</v>
      </c>
      <c r="R107" s="135">
        <v>3054</v>
      </c>
      <c r="S107" s="135" t="s">
        <v>1366</v>
      </c>
      <c r="T107" s="135" t="s">
        <v>1611</v>
      </c>
      <c r="U107" s="135">
        <v>1</v>
      </c>
      <c r="V107" s="135">
        <v>1270</v>
      </c>
      <c r="W107" s="135">
        <v>1290</v>
      </c>
      <c r="X107" s="135" t="s">
        <v>1386</v>
      </c>
      <c r="Y107" s="135" t="s">
        <v>1369</v>
      </c>
      <c r="Z107" s="134" t="s">
        <v>1350</v>
      </c>
      <c r="AA107" s="134"/>
    </row>
    <row r="108" spans="1:27" ht="15" hidden="1">
      <c r="A108" s="135" t="s">
        <v>1351</v>
      </c>
      <c r="B108" s="135">
        <v>1</v>
      </c>
      <c r="C108" s="136">
        <v>1</v>
      </c>
      <c r="D108" s="135" t="s">
        <v>1775</v>
      </c>
      <c r="E108" s="135" t="s">
        <v>1776</v>
      </c>
      <c r="F108" s="135"/>
      <c r="G108" s="135">
        <v>20</v>
      </c>
      <c r="H108" s="135"/>
      <c r="I108" s="135" t="s">
        <v>1364</v>
      </c>
      <c r="J108" s="137" t="s">
        <v>1340</v>
      </c>
      <c r="K108" s="135" t="s">
        <v>1356</v>
      </c>
      <c r="L108" s="135" t="s">
        <v>1342</v>
      </c>
      <c r="M108" s="135" t="s">
        <v>1647</v>
      </c>
      <c r="N108" s="135" t="s">
        <v>1344</v>
      </c>
      <c r="O108" s="135" t="s">
        <v>1345</v>
      </c>
      <c r="P108" s="135" t="s">
        <v>1346</v>
      </c>
      <c r="Q108" s="138">
        <v>3815</v>
      </c>
      <c r="R108" s="135">
        <v>4207</v>
      </c>
      <c r="S108" s="135" t="s">
        <v>1366</v>
      </c>
      <c r="T108" s="135" t="s">
        <v>1611</v>
      </c>
      <c r="U108" s="135">
        <v>3</v>
      </c>
      <c r="V108" s="135">
        <v>1350</v>
      </c>
      <c r="W108" s="135">
        <v>1370</v>
      </c>
      <c r="X108" s="135" t="s">
        <v>1386</v>
      </c>
      <c r="Y108" s="135" t="s">
        <v>1369</v>
      </c>
      <c r="Z108" s="134" t="s">
        <v>1350</v>
      </c>
      <c r="AA108" s="134"/>
    </row>
    <row r="109" spans="1:27" ht="15" hidden="1">
      <c r="A109" s="135" t="s">
        <v>1597</v>
      </c>
      <c r="B109" s="135">
        <v>3</v>
      </c>
      <c r="C109" s="136">
        <v>1</v>
      </c>
      <c r="D109" s="135" t="s">
        <v>1777</v>
      </c>
      <c r="E109" s="135" t="s">
        <v>1778</v>
      </c>
      <c r="F109" s="135"/>
      <c r="G109" s="135"/>
      <c r="H109" s="135"/>
      <c r="I109" s="135" t="s">
        <v>1364</v>
      </c>
      <c r="J109" s="137" t="s">
        <v>1340</v>
      </c>
      <c r="K109" s="135" t="s">
        <v>1601</v>
      </c>
      <c r="L109" s="135" t="s">
        <v>1342</v>
      </c>
      <c r="M109" s="135" t="s">
        <v>1647</v>
      </c>
      <c r="N109" s="135" t="s">
        <v>1344</v>
      </c>
      <c r="O109" s="135" t="s">
        <v>1345</v>
      </c>
      <c r="P109" s="135" t="s">
        <v>1346</v>
      </c>
      <c r="Q109" s="138">
        <v>1223</v>
      </c>
      <c r="R109" s="135">
        <v>1636</v>
      </c>
      <c r="S109" s="135" t="s">
        <v>1366</v>
      </c>
      <c r="T109" s="135" t="s">
        <v>1481</v>
      </c>
      <c r="U109" s="135">
        <v>1</v>
      </c>
      <c r="V109" s="135">
        <v>1270</v>
      </c>
      <c r="W109" s="135">
        <v>1290</v>
      </c>
      <c r="X109" s="135" t="s">
        <v>1393</v>
      </c>
      <c r="Y109" s="135" t="s">
        <v>1369</v>
      </c>
      <c r="Z109" s="134" t="s">
        <v>1350</v>
      </c>
      <c r="AA109" s="134"/>
    </row>
    <row r="110" spans="1:27" ht="15" hidden="1">
      <c r="A110" s="135" t="s">
        <v>1597</v>
      </c>
      <c r="B110" s="135">
        <v>1</v>
      </c>
      <c r="C110" s="136">
        <v>1</v>
      </c>
      <c r="D110" s="135" t="s">
        <v>1779</v>
      </c>
      <c r="E110" s="135" t="s">
        <v>1780</v>
      </c>
      <c r="F110" s="135"/>
      <c r="G110" s="135"/>
      <c r="H110" s="135"/>
      <c r="I110" s="135" t="s">
        <v>1339</v>
      </c>
      <c r="J110" s="137" t="s">
        <v>1340</v>
      </c>
      <c r="K110" s="135" t="s">
        <v>1601</v>
      </c>
      <c r="L110" s="135" t="s">
        <v>1342</v>
      </c>
      <c r="M110" s="135" t="s">
        <v>1647</v>
      </c>
      <c r="N110" s="135" t="s">
        <v>1344</v>
      </c>
      <c r="O110" s="135" t="s">
        <v>1345</v>
      </c>
      <c r="P110" s="135" t="s">
        <v>1346</v>
      </c>
      <c r="Q110" s="135">
        <v>404</v>
      </c>
      <c r="R110" s="135">
        <v>482</v>
      </c>
      <c r="S110" s="135" t="s">
        <v>1347</v>
      </c>
      <c r="T110" s="135">
        <v>0</v>
      </c>
      <c r="U110" s="135">
        <v>0</v>
      </c>
      <c r="V110" s="135">
        <v>0</v>
      </c>
      <c r="W110" s="135">
        <v>0</v>
      </c>
      <c r="X110" s="135" t="s">
        <v>1386</v>
      </c>
      <c r="Y110" s="135" t="s">
        <v>1349</v>
      </c>
      <c r="Z110" s="134" t="s">
        <v>1350</v>
      </c>
      <c r="AA110" s="134"/>
    </row>
    <row r="111" spans="1:27" ht="15" hidden="1">
      <c r="A111" s="135" t="s">
        <v>1597</v>
      </c>
      <c r="B111" s="135">
        <v>3</v>
      </c>
      <c r="C111" s="136">
        <v>1</v>
      </c>
      <c r="D111" s="135" t="s">
        <v>1781</v>
      </c>
      <c r="E111" s="135" t="s">
        <v>1782</v>
      </c>
      <c r="F111" s="135"/>
      <c r="G111" s="135"/>
      <c r="H111" s="135"/>
      <c r="I111" s="135" t="s">
        <v>1364</v>
      </c>
      <c r="J111" s="137" t="s">
        <v>1340</v>
      </c>
      <c r="K111" s="135" t="s">
        <v>1601</v>
      </c>
      <c r="L111" s="135" t="s">
        <v>1342</v>
      </c>
      <c r="M111" s="135" t="s">
        <v>1647</v>
      </c>
      <c r="N111" s="135" t="s">
        <v>1344</v>
      </c>
      <c r="O111" s="135" t="s">
        <v>1345</v>
      </c>
      <c r="P111" s="135" t="s">
        <v>1346</v>
      </c>
      <c r="Q111" s="138">
        <v>1432</v>
      </c>
      <c r="R111" s="135">
        <v>1533</v>
      </c>
      <c r="S111" s="135" t="s">
        <v>1366</v>
      </c>
      <c r="T111" s="135" t="s">
        <v>1481</v>
      </c>
      <c r="U111" s="135">
        <v>4</v>
      </c>
      <c r="V111" s="135">
        <v>1350</v>
      </c>
      <c r="W111" s="135">
        <v>1370</v>
      </c>
      <c r="X111" s="135" t="s">
        <v>1393</v>
      </c>
      <c r="Y111" s="135" t="s">
        <v>1369</v>
      </c>
      <c r="Z111" s="134" t="s">
        <v>1350</v>
      </c>
      <c r="AA111" s="134"/>
    </row>
    <row r="112" spans="1:27" ht="15" hidden="1">
      <c r="A112" s="135" t="s">
        <v>1597</v>
      </c>
      <c r="B112" s="135">
        <v>6</v>
      </c>
      <c r="C112" s="136">
        <v>3</v>
      </c>
      <c r="D112" s="135" t="s">
        <v>1783</v>
      </c>
      <c r="E112" s="135" t="s">
        <v>1784</v>
      </c>
      <c r="F112" s="135"/>
      <c r="G112" s="135"/>
      <c r="H112" s="135"/>
      <c r="I112" s="135" t="s">
        <v>1339</v>
      </c>
      <c r="J112" s="137" t="s">
        <v>1340</v>
      </c>
      <c r="K112" s="135" t="s">
        <v>1601</v>
      </c>
      <c r="L112" s="135" t="s">
        <v>1342</v>
      </c>
      <c r="M112" s="135" t="s">
        <v>1647</v>
      </c>
      <c r="N112" s="135" t="s">
        <v>1344</v>
      </c>
      <c r="O112" s="135" t="s">
        <v>1345</v>
      </c>
      <c r="P112" s="135" t="s">
        <v>1346</v>
      </c>
      <c r="Q112" s="138">
        <v>3935</v>
      </c>
      <c r="R112" s="135">
        <v>4021</v>
      </c>
      <c r="S112" s="135" t="s">
        <v>1347</v>
      </c>
      <c r="T112" s="135">
        <v>0</v>
      </c>
      <c r="U112" s="135">
        <v>0</v>
      </c>
      <c r="V112" s="135">
        <v>0</v>
      </c>
      <c r="W112" s="135">
        <v>0</v>
      </c>
      <c r="X112" s="135" t="s">
        <v>1408</v>
      </c>
      <c r="Y112" s="135" t="s">
        <v>1416</v>
      </c>
      <c r="Z112" s="134" t="s">
        <v>1350</v>
      </c>
      <c r="AA112" s="134"/>
    </row>
    <row r="113" spans="1:27" ht="15" hidden="1">
      <c r="A113" s="135" t="s">
        <v>1597</v>
      </c>
      <c r="B113" s="135">
        <v>4</v>
      </c>
      <c r="C113" s="136">
        <v>1</v>
      </c>
      <c r="D113" s="135" t="s">
        <v>1785</v>
      </c>
      <c r="E113" s="135" t="s">
        <v>1786</v>
      </c>
      <c r="F113" s="135"/>
      <c r="G113" s="135"/>
      <c r="H113" s="135"/>
      <c r="I113" s="135" t="s">
        <v>1364</v>
      </c>
      <c r="J113" s="137" t="s">
        <v>1340</v>
      </c>
      <c r="K113" s="135" t="s">
        <v>1601</v>
      </c>
      <c r="L113" s="135" t="s">
        <v>1342</v>
      </c>
      <c r="M113" s="135" t="s">
        <v>1647</v>
      </c>
      <c r="N113" s="135" t="s">
        <v>1344</v>
      </c>
      <c r="O113" s="135" t="s">
        <v>1345</v>
      </c>
      <c r="P113" s="135" t="s">
        <v>1346</v>
      </c>
      <c r="Q113" s="138">
        <v>1602</v>
      </c>
      <c r="R113" s="135">
        <v>2018</v>
      </c>
      <c r="S113" s="135" t="s">
        <v>1366</v>
      </c>
      <c r="T113" s="135" t="s">
        <v>1367</v>
      </c>
      <c r="U113" s="135">
        <v>1</v>
      </c>
      <c r="V113" s="135">
        <v>1270</v>
      </c>
      <c r="W113" s="135">
        <v>1290</v>
      </c>
      <c r="X113" s="135" t="s">
        <v>1368</v>
      </c>
      <c r="Y113" s="135" t="s">
        <v>1369</v>
      </c>
      <c r="Z113" s="134" t="s">
        <v>1350</v>
      </c>
      <c r="AA113" s="134"/>
    </row>
    <row r="114" spans="1:27" ht="15" hidden="1">
      <c r="A114" s="135" t="s">
        <v>1597</v>
      </c>
      <c r="B114" s="135">
        <v>4</v>
      </c>
      <c r="C114" s="136">
        <v>1</v>
      </c>
      <c r="D114" s="135" t="s">
        <v>1787</v>
      </c>
      <c r="E114" s="135" t="s">
        <v>1788</v>
      </c>
      <c r="F114" s="135"/>
      <c r="G114" s="135"/>
      <c r="H114" s="135"/>
      <c r="I114" s="135" t="s">
        <v>1364</v>
      </c>
      <c r="J114" s="137" t="s">
        <v>1340</v>
      </c>
      <c r="K114" s="135" t="s">
        <v>1601</v>
      </c>
      <c r="L114" s="135" t="s">
        <v>1342</v>
      </c>
      <c r="M114" s="135" t="s">
        <v>1647</v>
      </c>
      <c r="N114" s="135" t="s">
        <v>1344</v>
      </c>
      <c r="O114" s="135" t="s">
        <v>1345</v>
      </c>
      <c r="P114" s="135" t="s">
        <v>1346</v>
      </c>
      <c r="Q114" s="138">
        <v>2206</v>
      </c>
      <c r="R114" s="135">
        <v>2313</v>
      </c>
      <c r="S114" s="135" t="s">
        <v>1366</v>
      </c>
      <c r="T114" s="135" t="s">
        <v>1367</v>
      </c>
      <c r="U114" s="135">
        <v>4</v>
      </c>
      <c r="V114" s="135">
        <v>1390</v>
      </c>
      <c r="W114" s="135">
        <v>1310</v>
      </c>
      <c r="X114" s="135" t="s">
        <v>1368</v>
      </c>
      <c r="Y114" s="135" t="s">
        <v>1369</v>
      </c>
      <c r="Z114" s="134" t="s">
        <v>1350</v>
      </c>
      <c r="AA114" s="134"/>
    </row>
    <row r="115" spans="1:27" ht="15" hidden="1">
      <c r="A115" s="135" t="s">
        <v>1597</v>
      </c>
      <c r="B115" s="135">
        <v>4</v>
      </c>
      <c r="C115" s="136">
        <v>1</v>
      </c>
      <c r="D115" s="135" t="s">
        <v>1789</v>
      </c>
      <c r="E115" s="135" t="s">
        <v>1790</v>
      </c>
      <c r="F115" s="135"/>
      <c r="G115" s="135"/>
      <c r="H115" s="135"/>
      <c r="I115" s="135" t="s">
        <v>1364</v>
      </c>
      <c r="J115" s="137" t="s">
        <v>1340</v>
      </c>
      <c r="K115" s="135" t="s">
        <v>1601</v>
      </c>
      <c r="L115" s="135" t="s">
        <v>1342</v>
      </c>
      <c r="M115" s="135" t="s">
        <v>1647</v>
      </c>
      <c r="N115" s="135" t="s">
        <v>1344</v>
      </c>
      <c r="O115" s="135" t="s">
        <v>1345</v>
      </c>
      <c r="P115" s="135" t="s">
        <v>1346</v>
      </c>
      <c r="Q115" s="138">
        <v>1602</v>
      </c>
      <c r="R115" s="135">
        <v>1694</v>
      </c>
      <c r="S115" s="135" t="s">
        <v>1366</v>
      </c>
      <c r="T115" s="135" t="s">
        <v>1367</v>
      </c>
      <c r="U115" s="135">
        <v>2</v>
      </c>
      <c r="V115" s="135">
        <v>1310</v>
      </c>
      <c r="W115" s="135">
        <v>1330</v>
      </c>
      <c r="X115" s="135" t="s">
        <v>1368</v>
      </c>
      <c r="Y115" s="135" t="s">
        <v>1369</v>
      </c>
      <c r="Z115" s="134" t="s">
        <v>1350</v>
      </c>
      <c r="AA115" s="134"/>
    </row>
    <row r="116" spans="1:27" ht="15" hidden="1">
      <c r="A116" s="135" t="s">
        <v>1597</v>
      </c>
      <c r="B116" s="135">
        <v>4</v>
      </c>
      <c r="C116" s="136">
        <v>1</v>
      </c>
      <c r="D116" s="135" t="s">
        <v>1791</v>
      </c>
      <c r="E116" s="135" t="s">
        <v>1792</v>
      </c>
      <c r="F116" s="135"/>
      <c r="G116" s="135"/>
      <c r="H116" s="135"/>
      <c r="I116" s="135" t="s">
        <v>1364</v>
      </c>
      <c r="J116" s="137" t="s">
        <v>1340</v>
      </c>
      <c r="K116" s="135" t="s">
        <v>1601</v>
      </c>
      <c r="L116" s="135" t="s">
        <v>1342</v>
      </c>
      <c r="M116" s="135" t="s">
        <v>1647</v>
      </c>
      <c r="N116" s="135" t="s">
        <v>1344</v>
      </c>
      <c r="O116" s="135" t="s">
        <v>1345</v>
      </c>
      <c r="P116" s="135" t="s">
        <v>1346</v>
      </c>
      <c r="Q116" s="138">
        <v>1978</v>
      </c>
      <c r="R116" s="135">
        <v>2291</v>
      </c>
      <c r="S116" s="135" t="s">
        <v>1366</v>
      </c>
      <c r="T116" s="135" t="s">
        <v>1367</v>
      </c>
      <c r="U116" s="135">
        <v>3</v>
      </c>
      <c r="V116" s="135">
        <v>1430</v>
      </c>
      <c r="W116" s="135">
        <v>1450</v>
      </c>
      <c r="X116" s="135" t="s">
        <v>1368</v>
      </c>
      <c r="Y116" s="135" t="s">
        <v>1369</v>
      </c>
      <c r="Z116" s="134" t="s">
        <v>1350</v>
      </c>
      <c r="AA116" s="134"/>
    </row>
    <row r="117" spans="1:27" ht="15" hidden="1">
      <c r="A117" s="135" t="s">
        <v>1597</v>
      </c>
      <c r="B117" s="135">
        <v>4</v>
      </c>
      <c r="C117" s="136">
        <v>1</v>
      </c>
      <c r="D117" s="135" t="s">
        <v>1793</v>
      </c>
      <c r="E117" s="135" t="s">
        <v>1794</v>
      </c>
      <c r="F117" s="135"/>
      <c r="G117" s="135"/>
      <c r="H117" s="135"/>
      <c r="I117" s="135" t="s">
        <v>1364</v>
      </c>
      <c r="J117" s="137" t="s">
        <v>1340</v>
      </c>
      <c r="K117" s="135" t="s">
        <v>1601</v>
      </c>
      <c r="L117" s="135" t="s">
        <v>1342</v>
      </c>
      <c r="M117" s="135" t="s">
        <v>1647</v>
      </c>
      <c r="N117" s="135" t="s">
        <v>1344</v>
      </c>
      <c r="O117" s="135" t="s">
        <v>1345</v>
      </c>
      <c r="P117" s="135" t="s">
        <v>1346</v>
      </c>
      <c r="Q117" s="138">
        <v>1529</v>
      </c>
      <c r="R117" s="135">
        <v>1604</v>
      </c>
      <c r="S117" s="135" t="s">
        <v>1366</v>
      </c>
      <c r="T117" s="135" t="s">
        <v>1367</v>
      </c>
      <c r="U117" s="135">
        <v>1</v>
      </c>
      <c r="V117" s="135">
        <v>1270</v>
      </c>
      <c r="W117" s="135">
        <v>1290</v>
      </c>
      <c r="X117" s="135" t="s">
        <v>1368</v>
      </c>
      <c r="Y117" s="135" t="s">
        <v>1369</v>
      </c>
      <c r="Z117" s="134" t="s">
        <v>1350</v>
      </c>
      <c r="AA117" s="134"/>
    </row>
    <row r="118" spans="1:27" ht="15" hidden="1">
      <c r="A118" s="135" t="s">
        <v>1597</v>
      </c>
      <c r="B118" s="135">
        <v>3</v>
      </c>
      <c r="C118" s="136">
        <v>1</v>
      </c>
      <c r="D118" s="135" t="s">
        <v>1795</v>
      </c>
      <c r="E118" s="135" t="s">
        <v>1796</v>
      </c>
      <c r="F118" s="135"/>
      <c r="G118" s="135"/>
      <c r="H118" s="135"/>
      <c r="I118" s="135" t="s">
        <v>1364</v>
      </c>
      <c r="J118" s="137" t="s">
        <v>1340</v>
      </c>
      <c r="K118" s="135" t="s">
        <v>1601</v>
      </c>
      <c r="L118" s="135" t="s">
        <v>1342</v>
      </c>
      <c r="M118" s="135" t="s">
        <v>1647</v>
      </c>
      <c r="N118" s="135" t="s">
        <v>1344</v>
      </c>
      <c r="O118" s="135" t="s">
        <v>1345</v>
      </c>
      <c r="P118" s="135" t="s">
        <v>1346</v>
      </c>
      <c r="Q118" s="138">
        <v>1432</v>
      </c>
      <c r="R118" s="135">
        <v>2270</v>
      </c>
      <c r="S118" s="135" t="s">
        <v>1366</v>
      </c>
      <c r="T118" s="135" t="s">
        <v>1481</v>
      </c>
      <c r="U118" s="135">
        <v>5</v>
      </c>
      <c r="V118" s="135">
        <v>1390</v>
      </c>
      <c r="W118" s="135">
        <v>1410</v>
      </c>
      <c r="X118" s="135" t="s">
        <v>1393</v>
      </c>
      <c r="Y118" s="135" t="s">
        <v>1369</v>
      </c>
      <c r="Z118" s="134" t="s">
        <v>1350</v>
      </c>
      <c r="AA118" s="134"/>
    </row>
    <row r="119" spans="1:27" ht="15" hidden="1">
      <c r="A119" s="135" t="s">
        <v>1597</v>
      </c>
      <c r="B119" s="135">
        <v>3</v>
      </c>
      <c r="C119" s="136">
        <v>1</v>
      </c>
      <c r="D119" s="135" t="s">
        <v>1797</v>
      </c>
      <c r="E119" s="135" t="s">
        <v>1798</v>
      </c>
      <c r="F119" s="135"/>
      <c r="G119" s="135"/>
      <c r="H119" s="135"/>
      <c r="I119" s="135" t="s">
        <v>1364</v>
      </c>
      <c r="J119" s="137" t="s">
        <v>1340</v>
      </c>
      <c r="K119" s="135" t="s">
        <v>1601</v>
      </c>
      <c r="L119" s="135" t="s">
        <v>1342</v>
      </c>
      <c r="M119" s="135" t="s">
        <v>1647</v>
      </c>
      <c r="N119" s="135" t="s">
        <v>1344</v>
      </c>
      <c r="O119" s="135" t="s">
        <v>1345</v>
      </c>
      <c r="P119" s="135" t="s">
        <v>1346</v>
      </c>
      <c r="Q119" s="135">
        <v>917</v>
      </c>
      <c r="R119" s="135">
        <v>1294</v>
      </c>
      <c r="S119" s="135" t="s">
        <v>1366</v>
      </c>
      <c r="T119" s="135" t="s">
        <v>1481</v>
      </c>
      <c r="U119" s="135">
        <v>3</v>
      </c>
      <c r="V119" s="135">
        <v>1310</v>
      </c>
      <c r="W119" s="135">
        <v>1330</v>
      </c>
      <c r="X119" s="135" t="s">
        <v>1393</v>
      </c>
      <c r="Y119" s="135" t="s">
        <v>1369</v>
      </c>
      <c r="Z119" s="134" t="s">
        <v>1350</v>
      </c>
      <c r="AA119" s="134"/>
    </row>
    <row r="120" spans="1:27" ht="15" hidden="1">
      <c r="A120" s="135" t="s">
        <v>1597</v>
      </c>
      <c r="B120" s="135">
        <v>6</v>
      </c>
      <c r="C120" s="136">
        <v>1</v>
      </c>
      <c r="D120" s="135" t="s">
        <v>1799</v>
      </c>
      <c r="E120" s="135" t="s">
        <v>1800</v>
      </c>
      <c r="F120" s="135"/>
      <c r="G120" s="135"/>
      <c r="H120" s="135"/>
      <c r="I120" s="135" t="s">
        <v>1339</v>
      </c>
      <c r="J120" s="137" t="s">
        <v>1340</v>
      </c>
      <c r="K120" s="135" t="s">
        <v>1601</v>
      </c>
      <c r="L120" s="135" t="s">
        <v>1342</v>
      </c>
      <c r="M120" s="135" t="s">
        <v>1647</v>
      </c>
      <c r="N120" s="135" t="s">
        <v>1344</v>
      </c>
      <c r="O120" s="135" t="s">
        <v>1345</v>
      </c>
      <c r="P120" s="135" t="s">
        <v>1346</v>
      </c>
      <c r="Q120" s="138">
        <v>3693</v>
      </c>
      <c r="R120" s="135">
        <v>3785</v>
      </c>
      <c r="S120" s="135" t="s">
        <v>1347</v>
      </c>
      <c r="T120" s="135">
        <v>0</v>
      </c>
      <c r="U120" s="135">
        <v>0</v>
      </c>
      <c r="V120" s="135">
        <v>0</v>
      </c>
      <c r="W120" s="135">
        <v>0</v>
      </c>
      <c r="X120" s="135" t="s">
        <v>1408</v>
      </c>
      <c r="Y120" s="135" t="s">
        <v>1349</v>
      </c>
      <c r="Z120" s="134" t="s">
        <v>1350</v>
      </c>
      <c r="AA120" s="134"/>
    </row>
    <row r="121" spans="1:27" ht="15" hidden="1">
      <c r="A121" s="135" t="s">
        <v>1710</v>
      </c>
      <c r="B121" s="135">
        <v>7</v>
      </c>
      <c r="C121" s="136">
        <v>1</v>
      </c>
      <c r="D121" s="135" t="s">
        <v>1801</v>
      </c>
      <c r="E121" s="135" t="s">
        <v>1802</v>
      </c>
      <c r="F121" s="135"/>
      <c r="G121" s="135"/>
      <c r="H121" s="135"/>
      <c r="I121" s="135" t="s">
        <v>1339</v>
      </c>
      <c r="J121" s="137" t="s">
        <v>1340</v>
      </c>
      <c r="K121" s="135" t="s">
        <v>1713</v>
      </c>
      <c r="L121" s="135" t="s">
        <v>1342</v>
      </c>
      <c r="M121" s="135" t="s">
        <v>1647</v>
      </c>
      <c r="N121" s="135" t="s">
        <v>1344</v>
      </c>
      <c r="O121" s="135" t="s">
        <v>1345</v>
      </c>
      <c r="P121" s="135" t="s">
        <v>1346</v>
      </c>
      <c r="Q121" s="138">
        <v>2953</v>
      </c>
      <c r="R121" s="135">
        <v>3025</v>
      </c>
      <c r="S121" s="135" t="s">
        <v>1347</v>
      </c>
      <c r="T121" s="135">
        <v>0</v>
      </c>
      <c r="U121" s="135">
        <v>0</v>
      </c>
      <c r="V121" s="135">
        <v>0</v>
      </c>
      <c r="W121" s="135">
        <v>0</v>
      </c>
      <c r="X121" s="135" t="s">
        <v>1400</v>
      </c>
      <c r="Y121" s="135" t="s">
        <v>1349</v>
      </c>
      <c r="Z121" s="134" t="s">
        <v>1350</v>
      </c>
      <c r="AA121" s="134"/>
    </row>
    <row r="122" spans="1:27" ht="15" hidden="1">
      <c r="A122" s="135" t="s">
        <v>1575</v>
      </c>
      <c r="B122" s="135">
        <v>3</v>
      </c>
      <c r="C122" s="136">
        <v>1</v>
      </c>
      <c r="D122" s="135" t="s">
        <v>1803</v>
      </c>
      <c r="E122" s="135" t="s">
        <v>1804</v>
      </c>
      <c r="F122" s="135"/>
      <c r="G122" s="135">
        <v>20</v>
      </c>
      <c r="H122" s="137" t="s">
        <v>1805</v>
      </c>
      <c r="I122" s="135" t="s">
        <v>1339</v>
      </c>
      <c r="J122" s="137" t="s">
        <v>1340</v>
      </c>
      <c r="K122" s="135" t="s">
        <v>1579</v>
      </c>
      <c r="L122" s="135" t="s">
        <v>1342</v>
      </c>
      <c r="M122" s="135" t="s">
        <v>1647</v>
      </c>
      <c r="N122" s="135" t="s">
        <v>1344</v>
      </c>
      <c r="O122" s="135" t="s">
        <v>1345</v>
      </c>
      <c r="P122" s="135" t="s">
        <v>1346</v>
      </c>
      <c r="Q122" s="138">
        <v>11555</v>
      </c>
      <c r="R122" s="135">
        <v>11630</v>
      </c>
      <c r="S122" s="135" t="s">
        <v>1347</v>
      </c>
      <c r="T122" s="135">
        <v>0</v>
      </c>
      <c r="U122" s="135">
        <v>0</v>
      </c>
      <c r="V122" s="135">
        <v>0</v>
      </c>
      <c r="W122" s="135">
        <v>0</v>
      </c>
      <c r="X122" s="135" t="s">
        <v>1393</v>
      </c>
      <c r="Y122" s="135" t="s">
        <v>1349</v>
      </c>
      <c r="Z122" s="134" t="s">
        <v>1350</v>
      </c>
      <c r="AA122" s="134"/>
    </row>
    <row r="123" spans="1:27" ht="15" hidden="1">
      <c r="A123" s="135" t="s">
        <v>1395</v>
      </c>
      <c r="B123" s="135">
        <v>4</v>
      </c>
      <c r="C123" s="136">
        <v>1</v>
      </c>
      <c r="D123" s="135" t="s">
        <v>1806</v>
      </c>
      <c r="E123" s="135" t="s">
        <v>1807</v>
      </c>
      <c r="F123" s="135"/>
      <c r="G123" s="135">
        <v>20</v>
      </c>
      <c r="H123" s="137" t="s">
        <v>1808</v>
      </c>
      <c r="I123" s="135" t="s">
        <v>1339</v>
      </c>
      <c r="J123" s="137" t="s">
        <v>1340</v>
      </c>
      <c r="K123" s="135" t="s">
        <v>1399</v>
      </c>
      <c r="L123" s="135" t="s">
        <v>1342</v>
      </c>
      <c r="M123" s="135" t="s">
        <v>1647</v>
      </c>
      <c r="N123" s="135" t="s">
        <v>1344</v>
      </c>
      <c r="O123" s="135" t="s">
        <v>1345</v>
      </c>
      <c r="P123" s="135" t="s">
        <v>1346</v>
      </c>
      <c r="Q123" s="138">
        <v>8926</v>
      </c>
      <c r="R123" s="135">
        <v>9021</v>
      </c>
      <c r="S123" s="135" t="s">
        <v>1347</v>
      </c>
      <c r="T123" s="135">
        <v>0</v>
      </c>
      <c r="U123" s="135">
        <v>0</v>
      </c>
      <c r="V123" s="135">
        <v>0</v>
      </c>
      <c r="W123" s="135">
        <v>0</v>
      </c>
      <c r="X123" s="135" t="s">
        <v>1368</v>
      </c>
      <c r="Y123" s="135" t="s">
        <v>1349</v>
      </c>
      <c r="Z123" s="134" t="s">
        <v>1350</v>
      </c>
      <c r="AA123" s="134"/>
    </row>
    <row r="124" spans="1:27" ht="15" hidden="1">
      <c r="A124" s="135" t="s">
        <v>1395</v>
      </c>
      <c r="B124" s="135">
        <v>7</v>
      </c>
      <c r="C124" s="136">
        <v>1</v>
      </c>
      <c r="D124" s="135" t="s">
        <v>1809</v>
      </c>
      <c r="E124" s="135" t="s">
        <v>1810</v>
      </c>
      <c r="F124" s="135"/>
      <c r="G124" s="135">
        <v>20</v>
      </c>
      <c r="H124" s="137" t="s">
        <v>1811</v>
      </c>
      <c r="I124" s="135" t="s">
        <v>1339</v>
      </c>
      <c r="J124" s="137" t="s">
        <v>1340</v>
      </c>
      <c r="K124" s="135" t="s">
        <v>1399</v>
      </c>
      <c r="L124" s="135" t="s">
        <v>1342</v>
      </c>
      <c r="M124" s="135" t="s">
        <v>1647</v>
      </c>
      <c r="N124" s="135" t="s">
        <v>1344</v>
      </c>
      <c r="O124" s="135" t="s">
        <v>1345</v>
      </c>
      <c r="P124" s="135" t="s">
        <v>1346</v>
      </c>
      <c r="Q124" s="135" t="s">
        <v>1812</v>
      </c>
      <c r="R124" s="135">
        <v>10515</v>
      </c>
      <c r="S124" s="135" t="s">
        <v>1347</v>
      </c>
      <c r="T124" s="135">
        <v>0</v>
      </c>
      <c r="U124" s="135">
        <v>0</v>
      </c>
      <c r="V124" s="135">
        <v>0</v>
      </c>
      <c r="W124" s="135">
        <v>0</v>
      </c>
      <c r="X124" s="135" t="s">
        <v>1400</v>
      </c>
      <c r="Y124" s="135" t="s">
        <v>1349</v>
      </c>
      <c r="Z124" s="134" t="s">
        <v>1350</v>
      </c>
      <c r="AA124" s="134"/>
    </row>
    <row r="125" spans="1:27" ht="15" hidden="1">
      <c r="A125" s="135" t="s">
        <v>1351</v>
      </c>
      <c r="B125" s="135">
        <v>1</v>
      </c>
      <c r="C125" s="136">
        <v>1</v>
      </c>
      <c r="D125" s="135" t="s">
        <v>1813</v>
      </c>
      <c r="E125" s="135" t="s">
        <v>1814</v>
      </c>
      <c r="F125" s="135"/>
      <c r="G125" s="135">
        <v>19</v>
      </c>
      <c r="H125" s="137" t="s">
        <v>1815</v>
      </c>
      <c r="I125" s="135" t="s">
        <v>1364</v>
      </c>
      <c r="J125" s="137" t="s">
        <v>1340</v>
      </c>
      <c r="K125" s="135" t="s">
        <v>1356</v>
      </c>
      <c r="L125" s="135" t="s">
        <v>1342</v>
      </c>
      <c r="M125" s="135" t="s">
        <v>1647</v>
      </c>
      <c r="N125" s="135" t="s">
        <v>1344</v>
      </c>
      <c r="O125" s="135" t="s">
        <v>1345</v>
      </c>
      <c r="P125" s="135" t="s">
        <v>1346</v>
      </c>
      <c r="Q125" s="138">
        <v>4405</v>
      </c>
      <c r="R125" s="135">
        <v>5370</v>
      </c>
      <c r="S125" s="135" t="s">
        <v>1366</v>
      </c>
      <c r="T125" s="135" t="s">
        <v>1611</v>
      </c>
      <c r="U125" s="135">
        <v>5</v>
      </c>
      <c r="V125" s="135">
        <v>1430</v>
      </c>
      <c r="W125" s="135">
        <v>1450</v>
      </c>
      <c r="X125" s="135" t="s">
        <v>1386</v>
      </c>
      <c r="Y125" s="135" t="s">
        <v>1369</v>
      </c>
      <c r="Z125" s="134" t="s">
        <v>1350</v>
      </c>
      <c r="AA125" s="134"/>
    </row>
    <row r="126" spans="1:27" ht="15" hidden="1">
      <c r="A126" s="135" t="s">
        <v>1607</v>
      </c>
      <c r="B126" s="135">
        <v>6</v>
      </c>
      <c r="C126" s="136">
        <v>1</v>
      </c>
      <c r="D126" s="135" t="s">
        <v>1816</v>
      </c>
      <c r="E126" s="135" t="s">
        <v>1817</v>
      </c>
      <c r="F126" s="135"/>
      <c r="G126" s="135">
        <v>20</v>
      </c>
      <c r="H126" s="137" t="s">
        <v>1818</v>
      </c>
      <c r="I126" s="135" t="s">
        <v>1339</v>
      </c>
      <c r="J126" s="137" t="s">
        <v>1340</v>
      </c>
      <c r="K126" s="135" t="s">
        <v>1610</v>
      </c>
      <c r="L126" s="135" t="s">
        <v>1342</v>
      </c>
      <c r="M126" s="135" t="s">
        <v>1647</v>
      </c>
      <c r="N126" s="135" t="s">
        <v>1344</v>
      </c>
      <c r="O126" s="135" t="s">
        <v>1345</v>
      </c>
      <c r="P126" s="135" t="s">
        <v>1346</v>
      </c>
      <c r="Q126" s="135" t="s">
        <v>1819</v>
      </c>
      <c r="R126" s="135">
        <v>2391</v>
      </c>
      <c r="S126" s="135" t="s">
        <v>1347</v>
      </c>
      <c r="T126" s="135">
        <v>0</v>
      </c>
      <c r="U126" s="135">
        <v>0</v>
      </c>
      <c r="V126" s="135">
        <v>0</v>
      </c>
      <c r="W126" s="135">
        <v>0</v>
      </c>
      <c r="X126" s="135" t="s">
        <v>1408</v>
      </c>
      <c r="Y126" s="135" t="s">
        <v>1349</v>
      </c>
      <c r="Z126" s="134" t="s">
        <v>1350</v>
      </c>
      <c r="AA126" s="134"/>
    </row>
    <row r="127" spans="1:27" ht="15" hidden="1">
      <c r="A127" s="135" t="s">
        <v>1597</v>
      </c>
      <c r="B127" s="135">
        <v>3</v>
      </c>
      <c r="C127" s="136">
        <v>1</v>
      </c>
      <c r="D127" s="135" t="s">
        <v>1820</v>
      </c>
      <c r="E127" s="135" t="s">
        <v>1798</v>
      </c>
      <c r="F127" s="135"/>
      <c r="G127" s="135">
        <v>20</v>
      </c>
      <c r="H127" s="137" t="s">
        <v>1821</v>
      </c>
      <c r="I127" s="135" t="s">
        <v>1339</v>
      </c>
      <c r="J127" s="137" t="s">
        <v>1340</v>
      </c>
      <c r="K127" s="135" t="s">
        <v>1601</v>
      </c>
      <c r="L127" s="135" t="s">
        <v>1342</v>
      </c>
      <c r="M127" s="135" t="s">
        <v>1647</v>
      </c>
      <c r="N127" s="135" t="s">
        <v>1344</v>
      </c>
      <c r="O127" s="135" t="s">
        <v>1345</v>
      </c>
      <c r="P127" s="135" t="s">
        <v>1346</v>
      </c>
      <c r="Q127" s="135">
        <v>956</v>
      </c>
      <c r="R127" s="135">
        <v>1003</v>
      </c>
      <c r="S127" s="135" t="s">
        <v>1822</v>
      </c>
      <c r="T127" s="135">
        <v>0</v>
      </c>
      <c r="U127" s="135">
        <v>0</v>
      </c>
      <c r="V127" s="135">
        <v>0</v>
      </c>
      <c r="W127" s="135">
        <v>0</v>
      </c>
      <c r="X127" s="135" t="s">
        <v>1393</v>
      </c>
      <c r="Y127" s="135" t="s">
        <v>1349</v>
      </c>
      <c r="Z127" s="134" t="s">
        <v>1350</v>
      </c>
      <c r="AA127" s="134"/>
    </row>
    <row r="128" spans="1:27" ht="15" hidden="1">
      <c r="A128" s="135" t="s">
        <v>1351</v>
      </c>
      <c r="B128" s="135">
        <v>1</v>
      </c>
      <c r="C128" s="136">
        <v>1</v>
      </c>
      <c r="D128" s="135" t="s">
        <v>1823</v>
      </c>
      <c r="E128" s="135" t="s">
        <v>1824</v>
      </c>
      <c r="F128" s="135"/>
      <c r="G128" s="135">
        <v>20</v>
      </c>
      <c r="H128" s="137" t="s">
        <v>1825</v>
      </c>
      <c r="I128" s="135" t="s">
        <v>1364</v>
      </c>
      <c r="J128" s="137" t="s">
        <v>1340</v>
      </c>
      <c r="K128" s="135" t="s">
        <v>1356</v>
      </c>
      <c r="L128" s="135" t="s">
        <v>1342</v>
      </c>
      <c r="M128" s="135" t="s">
        <v>1647</v>
      </c>
      <c r="N128" s="135" t="s">
        <v>1344</v>
      </c>
      <c r="O128" s="135" t="s">
        <v>1345</v>
      </c>
      <c r="P128" s="135" t="s">
        <v>1346</v>
      </c>
      <c r="Q128" s="138">
        <v>3147</v>
      </c>
      <c r="R128" s="135">
        <v>3288</v>
      </c>
      <c r="S128" s="135" t="s">
        <v>1366</v>
      </c>
      <c r="T128" s="135" t="s">
        <v>1611</v>
      </c>
      <c r="U128" s="135">
        <v>7</v>
      </c>
      <c r="V128" s="135">
        <v>1510</v>
      </c>
      <c r="W128" s="135">
        <v>1530</v>
      </c>
      <c r="X128" s="135" t="s">
        <v>1386</v>
      </c>
      <c r="Y128" s="135" t="s">
        <v>1369</v>
      </c>
      <c r="Z128" s="134" t="s">
        <v>1350</v>
      </c>
      <c r="AA128" s="134"/>
    </row>
    <row r="129" spans="1:27" ht="15" hidden="1">
      <c r="A129" s="135" t="s">
        <v>1351</v>
      </c>
      <c r="B129" s="135">
        <v>1</v>
      </c>
      <c r="C129" s="136">
        <v>1</v>
      </c>
      <c r="D129" s="135" t="s">
        <v>1826</v>
      </c>
      <c r="E129" s="135" t="s">
        <v>1827</v>
      </c>
      <c r="F129" s="135"/>
      <c r="G129" s="135">
        <v>20</v>
      </c>
      <c r="H129" s="137" t="s">
        <v>1828</v>
      </c>
      <c r="I129" s="135" t="s">
        <v>1364</v>
      </c>
      <c r="J129" s="137" t="s">
        <v>1340</v>
      </c>
      <c r="K129" s="135" t="s">
        <v>1356</v>
      </c>
      <c r="L129" s="135" t="s">
        <v>1342</v>
      </c>
      <c r="M129" s="135" t="s">
        <v>1647</v>
      </c>
      <c r="N129" s="135" t="s">
        <v>1344</v>
      </c>
      <c r="O129" s="135" t="s">
        <v>1345</v>
      </c>
      <c r="P129" s="135" t="s">
        <v>1346</v>
      </c>
      <c r="Q129" s="138">
        <v>4188</v>
      </c>
      <c r="R129" s="135">
        <v>4252</v>
      </c>
      <c r="S129" s="135" t="s">
        <v>1366</v>
      </c>
      <c r="T129" s="135" t="s">
        <v>1611</v>
      </c>
      <c r="U129" s="135">
        <v>6</v>
      </c>
      <c r="V129" s="135">
        <v>1470</v>
      </c>
      <c r="W129" s="135">
        <v>1490</v>
      </c>
      <c r="X129" s="135" t="s">
        <v>1386</v>
      </c>
      <c r="Y129" s="135" t="s">
        <v>1369</v>
      </c>
      <c r="Z129" s="134" t="s">
        <v>1350</v>
      </c>
      <c r="AA129" s="134"/>
    </row>
    <row r="130" spans="1:27" ht="15" hidden="1">
      <c r="A130" s="135" t="s">
        <v>1710</v>
      </c>
      <c r="B130" s="135">
        <v>1</v>
      </c>
      <c r="C130" s="136">
        <v>1</v>
      </c>
      <c r="D130" s="135" t="s">
        <v>1829</v>
      </c>
      <c r="E130" s="135" t="s">
        <v>1830</v>
      </c>
      <c r="F130" s="135"/>
      <c r="G130" s="135">
        <v>20</v>
      </c>
      <c r="H130" s="137" t="s">
        <v>1831</v>
      </c>
      <c r="I130" s="135" t="s">
        <v>1339</v>
      </c>
      <c r="J130" s="137" t="s">
        <v>1340</v>
      </c>
      <c r="K130" s="135" t="s">
        <v>1713</v>
      </c>
      <c r="L130" s="135" t="s">
        <v>1342</v>
      </c>
      <c r="M130" s="135" t="s">
        <v>1647</v>
      </c>
      <c r="N130" s="135" t="s">
        <v>1344</v>
      </c>
      <c r="O130" s="135" t="s">
        <v>1345</v>
      </c>
      <c r="P130" s="135" t="s">
        <v>1346</v>
      </c>
      <c r="Q130" s="138">
        <v>1778</v>
      </c>
      <c r="R130" s="135">
        <v>1811</v>
      </c>
      <c r="S130" s="135" t="s">
        <v>1347</v>
      </c>
      <c r="T130" s="135">
        <v>0</v>
      </c>
      <c r="U130" s="135">
        <v>0</v>
      </c>
      <c r="V130" s="135">
        <v>0</v>
      </c>
      <c r="W130" s="135">
        <v>0</v>
      </c>
      <c r="X130" s="135" t="s">
        <v>1386</v>
      </c>
      <c r="Y130" s="135" t="s">
        <v>1349</v>
      </c>
      <c r="Z130" s="134" t="s">
        <v>1350</v>
      </c>
      <c r="AA130" s="134"/>
    </row>
    <row r="131" spans="1:27" ht="15" hidden="1">
      <c r="A131" s="135" t="s">
        <v>1710</v>
      </c>
      <c r="B131" s="135">
        <v>5</v>
      </c>
      <c r="C131" s="136">
        <v>1</v>
      </c>
      <c r="D131" s="135" t="s">
        <v>1832</v>
      </c>
      <c r="E131" s="135" t="s">
        <v>1833</v>
      </c>
      <c r="F131" s="135"/>
      <c r="G131" s="135">
        <v>20</v>
      </c>
      <c r="H131" s="137" t="s">
        <v>1834</v>
      </c>
      <c r="I131" s="135" t="s">
        <v>1364</v>
      </c>
      <c r="J131" s="137" t="s">
        <v>1340</v>
      </c>
      <c r="K131" s="135" t="s">
        <v>1713</v>
      </c>
      <c r="L131" s="135" t="s">
        <v>1342</v>
      </c>
      <c r="M131" s="135" t="s">
        <v>1647</v>
      </c>
      <c r="N131" s="135" t="s">
        <v>1344</v>
      </c>
      <c r="O131" s="135" t="s">
        <v>1345</v>
      </c>
      <c r="P131" s="135" t="s">
        <v>1346</v>
      </c>
      <c r="Q131" s="135" t="s">
        <v>1835</v>
      </c>
      <c r="R131" s="135">
        <v>2728</v>
      </c>
      <c r="S131" s="135" t="s">
        <v>1366</v>
      </c>
      <c r="T131" s="135" t="s">
        <v>1448</v>
      </c>
      <c r="U131" s="135">
        <v>3</v>
      </c>
      <c r="V131" s="135">
        <v>1350</v>
      </c>
      <c r="W131" s="135">
        <v>1370</v>
      </c>
      <c r="X131" s="135" t="s">
        <v>1348</v>
      </c>
      <c r="Y131" s="135" t="s">
        <v>1369</v>
      </c>
      <c r="Z131" s="134" t="s">
        <v>1350</v>
      </c>
      <c r="AA131" s="134"/>
    </row>
    <row r="132" spans="1:27" ht="15" hidden="1">
      <c r="A132" s="135" t="s">
        <v>1710</v>
      </c>
      <c r="B132" s="135">
        <v>5</v>
      </c>
      <c r="C132" s="136">
        <v>1</v>
      </c>
      <c r="D132" s="135" t="s">
        <v>1836</v>
      </c>
      <c r="E132" s="135" t="s">
        <v>1837</v>
      </c>
      <c r="F132" s="135"/>
      <c r="G132" s="135">
        <v>20</v>
      </c>
      <c r="H132" s="137" t="s">
        <v>1838</v>
      </c>
      <c r="I132" s="135" t="s">
        <v>1364</v>
      </c>
      <c r="J132" s="137" t="s">
        <v>1340</v>
      </c>
      <c r="K132" s="135" t="s">
        <v>1713</v>
      </c>
      <c r="L132" s="135" t="s">
        <v>1342</v>
      </c>
      <c r="M132" s="135" t="s">
        <v>1647</v>
      </c>
      <c r="N132" s="135" t="s">
        <v>1344</v>
      </c>
      <c r="O132" s="135" t="s">
        <v>1345</v>
      </c>
      <c r="P132" s="135" t="s">
        <v>1346</v>
      </c>
      <c r="Q132" s="138">
        <v>2812</v>
      </c>
      <c r="R132" s="135">
        <v>2853</v>
      </c>
      <c r="S132" s="135" t="s">
        <v>1366</v>
      </c>
      <c r="T132" s="135" t="s">
        <v>1448</v>
      </c>
      <c r="U132" s="135">
        <v>2</v>
      </c>
      <c r="V132" s="135">
        <v>1310</v>
      </c>
      <c r="W132" s="135">
        <v>1330</v>
      </c>
      <c r="X132" s="135" t="s">
        <v>1348</v>
      </c>
      <c r="Y132" s="135" t="s">
        <v>1369</v>
      </c>
      <c r="Z132" s="134" t="s">
        <v>1350</v>
      </c>
      <c r="AA132" s="134"/>
    </row>
    <row r="133" spans="1:27" ht="15" hidden="1">
      <c r="A133" s="135" t="s">
        <v>1351</v>
      </c>
      <c r="B133" s="135">
        <v>7</v>
      </c>
      <c r="C133" s="136">
        <v>1</v>
      </c>
      <c r="D133" s="135" t="s">
        <v>1839</v>
      </c>
      <c r="E133" s="135" t="s">
        <v>1840</v>
      </c>
      <c r="F133" s="135"/>
      <c r="G133" s="135">
        <v>20</v>
      </c>
      <c r="H133" s="137" t="s">
        <v>1841</v>
      </c>
      <c r="I133" s="135" t="s">
        <v>1339</v>
      </c>
      <c r="J133" s="137" t="s">
        <v>1340</v>
      </c>
      <c r="K133" s="135" t="s">
        <v>1356</v>
      </c>
      <c r="L133" s="135" t="s">
        <v>1342</v>
      </c>
      <c r="M133" s="135" t="s">
        <v>1647</v>
      </c>
      <c r="N133" s="135" t="s">
        <v>1344</v>
      </c>
      <c r="O133" s="135" t="s">
        <v>1345</v>
      </c>
      <c r="P133" s="135" t="s">
        <v>1346</v>
      </c>
      <c r="Q133" s="138">
        <v>4743</v>
      </c>
      <c r="R133" s="135">
        <v>4767</v>
      </c>
      <c r="S133" s="135" t="s">
        <v>1347</v>
      </c>
      <c r="T133" s="135">
        <v>0</v>
      </c>
      <c r="U133" s="135">
        <v>0</v>
      </c>
      <c r="V133" s="135">
        <v>0</v>
      </c>
      <c r="W133" s="135">
        <v>0</v>
      </c>
      <c r="X133" s="135" t="s">
        <v>1400</v>
      </c>
      <c r="Y133" s="135" t="s">
        <v>1349</v>
      </c>
      <c r="Z133" s="134" t="s">
        <v>1350</v>
      </c>
      <c r="AA133" s="134"/>
    </row>
    <row r="134" spans="1:27" ht="15" hidden="1">
      <c r="A134" s="135" t="s">
        <v>1351</v>
      </c>
      <c r="B134" s="135">
        <v>6</v>
      </c>
      <c r="C134" s="136">
        <v>1</v>
      </c>
      <c r="D134" s="135" t="s">
        <v>1842</v>
      </c>
      <c r="E134" s="135" t="s">
        <v>1843</v>
      </c>
      <c r="F134" s="135"/>
      <c r="G134" s="135">
        <v>20</v>
      </c>
      <c r="H134" s="137" t="s">
        <v>1844</v>
      </c>
      <c r="I134" s="135" t="s">
        <v>1339</v>
      </c>
      <c r="J134" s="137" t="s">
        <v>1340</v>
      </c>
      <c r="K134" s="135" t="s">
        <v>1356</v>
      </c>
      <c r="L134" s="135" t="s">
        <v>1342</v>
      </c>
      <c r="M134" s="135" t="s">
        <v>1647</v>
      </c>
      <c r="N134" s="135" t="s">
        <v>1344</v>
      </c>
      <c r="O134" s="135" t="s">
        <v>1345</v>
      </c>
      <c r="P134" s="135" t="s">
        <v>1346</v>
      </c>
      <c r="Q134" s="138">
        <v>4794</v>
      </c>
      <c r="R134" s="135">
        <v>4968</v>
      </c>
      <c r="S134" s="135" t="s">
        <v>1347</v>
      </c>
      <c r="T134" s="135">
        <v>0</v>
      </c>
      <c r="U134" s="135">
        <v>0</v>
      </c>
      <c r="V134" s="135">
        <v>0</v>
      </c>
      <c r="W134" s="135">
        <v>0</v>
      </c>
      <c r="X134" s="135" t="s">
        <v>1408</v>
      </c>
      <c r="Y134" s="135" t="s">
        <v>1349</v>
      </c>
      <c r="Z134" s="134" t="s">
        <v>1350</v>
      </c>
      <c r="AA134" s="134"/>
    </row>
    <row r="135" spans="1:27" ht="15" hidden="1">
      <c r="A135" s="135" t="s">
        <v>1607</v>
      </c>
      <c r="B135" s="135">
        <v>6</v>
      </c>
      <c r="C135" s="136">
        <v>3</v>
      </c>
      <c r="D135" s="135" t="s">
        <v>1845</v>
      </c>
      <c r="E135" s="135" t="s">
        <v>1846</v>
      </c>
      <c r="F135" s="135"/>
      <c r="G135" s="135">
        <v>20</v>
      </c>
      <c r="H135" s="137" t="s">
        <v>1818</v>
      </c>
      <c r="I135" s="135" t="s">
        <v>1339</v>
      </c>
      <c r="J135" s="137" t="s">
        <v>1340</v>
      </c>
      <c r="K135" s="135" t="s">
        <v>1610</v>
      </c>
      <c r="L135" s="135" t="s">
        <v>1342</v>
      </c>
      <c r="M135" s="135" t="s">
        <v>1647</v>
      </c>
      <c r="N135" s="135" t="s">
        <v>1344</v>
      </c>
      <c r="O135" s="135" t="s">
        <v>1345</v>
      </c>
      <c r="P135" s="135" t="s">
        <v>1346</v>
      </c>
      <c r="Q135" s="135" t="s">
        <v>1819</v>
      </c>
      <c r="R135" s="135">
        <v>2389</v>
      </c>
      <c r="S135" s="135" t="s">
        <v>1347</v>
      </c>
      <c r="T135" s="135">
        <v>0</v>
      </c>
      <c r="U135" s="135">
        <v>0</v>
      </c>
      <c r="V135" s="135">
        <v>0</v>
      </c>
      <c r="W135" s="135">
        <v>0</v>
      </c>
      <c r="X135" s="135" t="s">
        <v>1408</v>
      </c>
      <c r="Y135" s="135" t="s">
        <v>1416</v>
      </c>
      <c r="Z135" s="134" t="s">
        <v>1350</v>
      </c>
      <c r="AA135" s="134"/>
    </row>
    <row r="136" spans="1:27" ht="15" hidden="1">
      <c r="A136" s="135" t="s">
        <v>1597</v>
      </c>
      <c r="B136" s="135">
        <v>6</v>
      </c>
      <c r="C136" s="136">
        <v>5</v>
      </c>
      <c r="D136" s="135" t="s">
        <v>1847</v>
      </c>
      <c r="E136" s="135" t="s">
        <v>1848</v>
      </c>
      <c r="F136" s="135"/>
      <c r="G136" s="135">
        <v>20</v>
      </c>
      <c r="H136" s="137" t="s">
        <v>1849</v>
      </c>
      <c r="I136" s="135" t="s">
        <v>1339</v>
      </c>
      <c r="J136" s="137" t="s">
        <v>1340</v>
      </c>
      <c r="K136" s="135" t="s">
        <v>1601</v>
      </c>
      <c r="L136" s="135" t="s">
        <v>1342</v>
      </c>
      <c r="M136" s="135" t="s">
        <v>1647</v>
      </c>
      <c r="N136" s="135" t="s">
        <v>1344</v>
      </c>
      <c r="O136" s="135" t="s">
        <v>1345</v>
      </c>
      <c r="P136" s="135" t="s">
        <v>1346</v>
      </c>
      <c r="Q136" s="138">
        <v>3648</v>
      </c>
      <c r="R136" s="135">
        <v>3789</v>
      </c>
      <c r="S136" s="135" t="s">
        <v>1347</v>
      </c>
      <c r="T136" s="135">
        <v>0</v>
      </c>
      <c r="U136" s="135">
        <v>0</v>
      </c>
      <c r="V136" s="135">
        <v>0</v>
      </c>
      <c r="W136" s="135">
        <v>0</v>
      </c>
      <c r="X136" s="135" t="s">
        <v>1408</v>
      </c>
      <c r="Y136" s="135" t="s">
        <v>1546</v>
      </c>
      <c r="Z136" s="134" t="s">
        <v>1350</v>
      </c>
      <c r="AA136" s="134"/>
    </row>
    <row r="137" spans="1:27" ht="15" hidden="1">
      <c r="A137" s="135" t="s">
        <v>1575</v>
      </c>
      <c r="B137" s="135">
        <v>5</v>
      </c>
      <c r="C137" s="136">
        <v>1</v>
      </c>
      <c r="D137" s="135" t="s">
        <v>1850</v>
      </c>
      <c r="E137" s="135" t="s">
        <v>1851</v>
      </c>
      <c r="F137" s="135"/>
      <c r="G137" s="135">
        <v>20</v>
      </c>
      <c r="H137" s="137" t="s">
        <v>1852</v>
      </c>
      <c r="I137" s="135" t="s">
        <v>1339</v>
      </c>
      <c r="J137" s="137" t="s">
        <v>1340</v>
      </c>
      <c r="K137" s="135" t="s">
        <v>1579</v>
      </c>
      <c r="L137" s="135" t="s">
        <v>1342</v>
      </c>
      <c r="M137" s="135" t="s">
        <v>1647</v>
      </c>
      <c r="N137" s="135" t="s">
        <v>1344</v>
      </c>
      <c r="O137" s="135" t="s">
        <v>1345</v>
      </c>
      <c r="P137" s="135" t="s">
        <v>1346</v>
      </c>
      <c r="Q137" s="135" t="s">
        <v>1853</v>
      </c>
      <c r="R137" s="135">
        <v>11721</v>
      </c>
      <c r="S137" s="135" t="s">
        <v>1347</v>
      </c>
      <c r="T137" s="135">
        <v>0</v>
      </c>
      <c r="U137" s="135">
        <v>0</v>
      </c>
      <c r="V137" s="135">
        <v>0</v>
      </c>
      <c r="W137" s="135">
        <v>0</v>
      </c>
      <c r="X137" s="135" t="s">
        <v>1348</v>
      </c>
      <c r="Y137" s="135" t="s">
        <v>1349</v>
      </c>
      <c r="Z137" s="134" t="s">
        <v>1350</v>
      </c>
      <c r="AA137" s="134"/>
    </row>
    <row r="138" spans="1:27" ht="15" hidden="1">
      <c r="A138" s="135" t="s">
        <v>1466</v>
      </c>
      <c r="B138" s="135">
        <v>2</v>
      </c>
      <c r="C138" s="136">
        <v>1</v>
      </c>
      <c r="D138" s="135" t="s">
        <v>1854</v>
      </c>
      <c r="E138" s="135" t="s">
        <v>1855</v>
      </c>
      <c r="F138" s="135"/>
      <c r="G138" s="135">
        <v>20</v>
      </c>
      <c r="H138" s="137" t="s">
        <v>1686</v>
      </c>
      <c r="I138" s="135" t="s">
        <v>1364</v>
      </c>
      <c r="J138" s="137" t="s">
        <v>1340</v>
      </c>
      <c r="K138" s="135" t="s">
        <v>1470</v>
      </c>
      <c r="L138" s="135" t="s">
        <v>1342</v>
      </c>
      <c r="M138" s="135" t="s">
        <v>1647</v>
      </c>
      <c r="N138" s="135" t="s">
        <v>1344</v>
      </c>
      <c r="O138" s="135" t="s">
        <v>1345</v>
      </c>
      <c r="P138" s="135" t="s">
        <v>1346</v>
      </c>
      <c r="Q138" s="138">
        <v>4213</v>
      </c>
      <c r="R138" s="135">
        <v>4558</v>
      </c>
      <c r="S138" s="135" t="s">
        <v>1366</v>
      </c>
      <c r="T138" s="135" t="s">
        <v>1606</v>
      </c>
      <c r="U138" s="135">
        <v>5</v>
      </c>
      <c r="V138" s="135">
        <v>1430</v>
      </c>
      <c r="W138" s="135">
        <v>1450</v>
      </c>
      <c r="X138" s="135" t="s">
        <v>1443</v>
      </c>
      <c r="Y138" s="135" t="s">
        <v>1369</v>
      </c>
      <c r="Z138" s="134" t="s">
        <v>1350</v>
      </c>
      <c r="AA138" s="134"/>
    </row>
    <row r="139" spans="1:27" ht="15" hidden="1">
      <c r="A139" s="135" t="s">
        <v>1351</v>
      </c>
      <c r="B139" s="135">
        <v>1</v>
      </c>
      <c r="C139" s="136">
        <v>2</v>
      </c>
      <c r="D139" s="135" t="s">
        <v>1856</v>
      </c>
      <c r="E139" s="135" t="s">
        <v>1857</v>
      </c>
      <c r="F139" s="135"/>
      <c r="G139" s="135">
        <v>20</v>
      </c>
      <c r="H139" s="137" t="s">
        <v>1858</v>
      </c>
      <c r="I139" s="135" t="s">
        <v>1364</v>
      </c>
      <c r="J139" s="137" t="s">
        <v>1340</v>
      </c>
      <c r="K139" s="135" t="s">
        <v>1356</v>
      </c>
      <c r="L139" s="135" t="s">
        <v>1342</v>
      </c>
      <c r="M139" s="135" t="s">
        <v>1647</v>
      </c>
      <c r="N139" s="135" t="s">
        <v>1344</v>
      </c>
      <c r="O139" s="135" t="s">
        <v>1345</v>
      </c>
      <c r="P139" s="135" t="s">
        <v>1346</v>
      </c>
      <c r="Q139" s="138">
        <v>3421</v>
      </c>
      <c r="R139" s="135">
        <v>3513</v>
      </c>
      <c r="S139" s="135" t="s">
        <v>1366</v>
      </c>
      <c r="T139" s="135" t="s">
        <v>1349</v>
      </c>
      <c r="U139" s="135">
        <v>7</v>
      </c>
      <c r="V139" s="135">
        <v>1510</v>
      </c>
      <c r="W139" s="135">
        <v>1530</v>
      </c>
      <c r="X139" s="135" t="s">
        <v>1386</v>
      </c>
      <c r="Y139" s="135" t="s">
        <v>1648</v>
      </c>
      <c r="Z139" s="134" t="s">
        <v>1350</v>
      </c>
      <c r="AA139" s="134"/>
    </row>
    <row r="140" spans="1:27" ht="15" hidden="1">
      <c r="A140" s="135" t="s">
        <v>1597</v>
      </c>
      <c r="B140" s="135">
        <v>4</v>
      </c>
      <c r="C140" s="136">
        <v>2</v>
      </c>
      <c r="D140" s="135" t="s">
        <v>1859</v>
      </c>
      <c r="E140" s="135" t="s">
        <v>1860</v>
      </c>
      <c r="F140" s="135"/>
      <c r="G140" s="135">
        <v>20</v>
      </c>
      <c r="H140" s="137" t="s">
        <v>1861</v>
      </c>
      <c r="I140" s="135" t="s">
        <v>1364</v>
      </c>
      <c r="J140" s="137" t="s">
        <v>1340</v>
      </c>
      <c r="K140" s="135" t="s">
        <v>1601</v>
      </c>
      <c r="L140" s="135" t="s">
        <v>1342</v>
      </c>
      <c r="M140" s="135" t="s">
        <v>1647</v>
      </c>
      <c r="N140" s="135" t="s">
        <v>1344</v>
      </c>
      <c r="O140" s="135" t="s">
        <v>1345</v>
      </c>
      <c r="P140" s="135" t="s">
        <v>1346</v>
      </c>
      <c r="Q140" s="135" t="s">
        <v>1862</v>
      </c>
      <c r="R140" s="135">
        <v>2492</v>
      </c>
      <c r="S140" s="135" t="s">
        <v>1366</v>
      </c>
      <c r="T140" s="135" t="s">
        <v>1672</v>
      </c>
      <c r="U140" s="135">
        <v>5</v>
      </c>
      <c r="V140" s="135">
        <v>1430</v>
      </c>
      <c r="W140" s="135">
        <v>1450</v>
      </c>
      <c r="X140" s="135" t="s">
        <v>1368</v>
      </c>
      <c r="Y140" s="135" t="s">
        <v>1648</v>
      </c>
      <c r="Z140" s="134" t="s">
        <v>1350</v>
      </c>
      <c r="AA140" s="134"/>
    </row>
    <row r="141" spans="1:27" ht="15" hidden="1">
      <c r="A141" s="135" t="s">
        <v>1449</v>
      </c>
      <c r="B141" s="135">
        <v>2</v>
      </c>
      <c r="C141" s="136">
        <v>1</v>
      </c>
      <c r="D141" s="135" t="s">
        <v>1863</v>
      </c>
      <c r="E141" s="135" t="s">
        <v>1864</v>
      </c>
      <c r="F141" s="135"/>
      <c r="G141" s="135">
        <v>20</v>
      </c>
      <c r="H141" s="137" t="s">
        <v>1865</v>
      </c>
      <c r="I141" s="135" t="s">
        <v>1339</v>
      </c>
      <c r="J141" s="137" t="s">
        <v>1340</v>
      </c>
      <c r="K141" s="135" t="s">
        <v>1453</v>
      </c>
      <c r="L141" s="135" t="s">
        <v>1342</v>
      </c>
      <c r="M141" s="135" t="s">
        <v>1866</v>
      </c>
      <c r="N141" s="135" t="s">
        <v>1344</v>
      </c>
      <c r="O141" s="135" t="s">
        <v>1345</v>
      </c>
      <c r="P141" s="135" t="s">
        <v>1346</v>
      </c>
      <c r="Q141" s="138">
        <v>2063</v>
      </c>
      <c r="R141" s="135">
        <v>2093</v>
      </c>
      <c r="S141" s="135" t="s">
        <v>1347</v>
      </c>
      <c r="T141" s="135">
        <v>0</v>
      </c>
      <c r="U141" s="135">
        <v>0</v>
      </c>
      <c r="V141" s="135">
        <v>0</v>
      </c>
      <c r="W141" s="135">
        <v>0</v>
      </c>
      <c r="X141" s="135" t="s">
        <v>1443</v>
      </c>
      <c r="Y141" s="135" t="s">
        <v>1349</v>
      </c>
      <c r="Z141" s="134" t="s">
        <v>1350</v>
      </c>
      <c r="AA141" s="134"/>
    </row>
    <row r="142" spans="1:27" ht="15" hidden="1">
      <c r="A142" s="135" t="s">
        <v>1380</v>
      </c>
      <c r="B142" s="135">
        <v>5</v>
      </c>
      <c r="C142" s="136">
        <v>1</v>
      </c>
      <c r="D142" s="135" t="s">
        <v>1867</v>
      </c>
      <c r="E142" s="135" t="s">
        <v>1868</v>
      </c>
      <c r="F142" s="135"/>
      <c r="G142" s="135">
        <v>20</v>
      </c>
      <c r="H142" s="137" t="s">
        <v>1869</v>
      </c>
      <c r="I142" s="135" t="s">
        <v>1364</v>
      </c>
      <c r="J142" s="137" t="s">
        <v>1340</v>
      </c>
      <c r="K142" s="135" t="s">
        <v>1385</v>
      </c>
      <c r="L142" s="135" t="s">
        <v>1342</v>
      </c>
      <c r="M142" s="135" t="s">
        <v>1866</v>
      </c>
      <c r="N142" s="135" t="s">
        <v>1344</v>
      </c>
      <c r="O142" s="135" t="s">
        <v>1345</v>
      </c>
      <c r="P142" s="135" t="s">
        <v>1346</v>
      </c>
      <c r="Q142" s="135" t="s">
        <v>1870</v>
      </c>
      <c r="R142" s="135">
        <v>5198</v>
      </c>
      <c r="S142" s="135" t="s">
        <v>1366</v>
      </c>
      <c r="T142" s="135" t="s">
        <v>1448</v>
      </c>
      <c r="U142" s="135">
        <v>3</v>
      </c>
      <c r="V142" s="135">
        <v>1350</v>
      </c>
      <c r="W142" s="135">
        <v>1370</v>
      </c>
      <c r="X142" s="135" t="s">
        <v>1348</v>
      </c>
      <c r="Y142" s="135" t="s">
        <v>1369</v>
      </c>
      <c r="Z142" s="134" t="s">
        <v>1350</v>
      </c>
      <c r="AA142" s="134"/>
    </row>
    <row r="143" spans="1:27" ht="15" hidden="1">
      <c r="A143" s="135" t="s">
        <v>1380</v>
      </c>
      <c r="B143" s="135">
        <v>4</v>
      </c>
      <c r="C143" s="136">
        <v>1</v>
      </c>
      <c r="D143" s="135" t="s">
        <v>1871</v>
      </c>
      <c r="E143" s="135" t="s">
        <v>1872</v>
      </c>
      <c r="F143" s="135"/>
      <c r="G143" s="135">
        <v>20</v>
      </c>
      <c r="H143" s="137" t="s">
        <v>1873</v>
      </c>
      <c r="I143" s="135" t="s">
        <v>1339</v>
      </c>
      <c r="J143" s="137" t="s">
        <v>1340</v>
      </c>
      <c r="K143" s="135" t="s">
        <v>1385</v>
      </c>
      <c r="L143" s="135" t="s">
        <v>1342</v>
      </c>
      <c r="M143" s="135" t="s">
        <v>1866</v>
      </c>
      <c r="N143" s="135" t="s">
        <v>1344</v>
      </c>
      <c r="O143" s="135" t="s">
        <v>1345</v>
      </c>
      <c r="P143" s="135" t="s">
        <v>1346</v>
      </c>
      <c r="Q143" s="138">
        <v>3985</v>
      </c>
      <c r="R143" s="135">
        <v>4151</v>
      </c>
      <c r="S143" s="135" t="s">
        <v>1347</v>
      </c>
      <c r="T143" s="135">
        <v>0</v>
      </c>
      <c r="U143" s="135">
        <v>0</v>
      </c>
      <c r="V143" s="135">
        <v>0</v>
      </c>
      <c r="W143" s="135">
        <v>0</v>
      </c>
      <c r="X143" s="135" t="s">
        <v>1368</v>
      </c>
      <c r="Y143" s="135" t="s">
        <v>1349</v>
      </c>
      <c r="Z143" s="134" t="s">
        <v>1350</v>
      </c>
      <c r="AA143" s="134"/>
    </row>
    <row r="144" spans="1:27" ht="15" hidden="1">
      <c r="A144" s="135" t="s">
        <v>1380</v>
      </c>
      <c r="B144" s="135">
        <v>5</v>
      </c>
      <c r="C144" s="136">
        <v>1</v>
      </c>
      <c r="D144" s="135" t="s">
        <v>1874</v>
      </c>
      <c r="E144" s="135" t="s">
        <v>1875</v>
      </c>
      <c r="F144" s="135"/>
      <c r="G144" s="135">
        <v>20</v>
      </c>
      <c r="H144" s="137" t="s">
        <v>1876</v>
      </c>
      <c r="I144" s="135" t="s">
        <v>1364</v>
      </c>
      <c r="J144" s="137" t="s">
        <v>1340</v>
      </c>
      <c r="K144" s="135" t="s">
        <v>1385</v>
      </c>
      <c r="L144" s="135" t="s">
        <v>1342</v>
      </c>
      <c r="M144" s="135" t="s">
        <v>1866</v>
      </c>
      <c r="N144" s="135" t="s">
        <v>1344</v>
      </c>
      <c r="O144" s="135" t="s">
        <v>1345</v>
      </c>
      <c r="P144" s="135" t="s">
        <v>1346</v>
      </c>
      <c r="Q144" s="138">
        <v>3988</v>
      </c>
      <c r="R144" s="135">
        <v>4391</v>
      </c>
      <c r="S144" s="135" t="s">
        <v>1366</v>
      </c>
      <c r="T144" s="135" t="s">
        <v>1448</v>
      </c>
      <c r="U144" s="135">
        <v>2</v>
      </c>
      <c r="V144" s="135">
        <v>1310</v>
      </c>
      <c r="W144" s="135">
        <v>1330</v>
      </c>
      <c r="X144" s="135" t="s">
        <v>1348</v>
      </c>
      <c r="Y144" s="135" t="s">
        <v>1369</v>
      </c>
      <c r="Z144" s="134" t="s">
        <v>1350</v>
      </c>
      <c r="AA144" s="134"/>
    </row>
    <row r="145" spans="1:27" ht="15" hidden="1">
      <c r="A145" s="135" t="s">
        <v>1380</v>
      </c>
      <c r="B145" s="135">
        <v>5</v>
      </c>
      <c r="C145" s="136">
        <v>1</v>
      </c>
      <c r="D145" s="135" t="s">
        <v>1877</v>
      </c>
      <c r="E145" s="135" t="s">
        <v>1878</v>
      </c>
      <c r="F145" s="135"/>
      <c r="G145" s="135">
        <v>20</v>
      </c>
      <c r="H145" s="137" t="s">
        <v>1879</v>
      </c>
      <c r="I145" s="135" t="s">
        <v>1364</v>
      </c>
      <c r="J145" s="137" t="s">
        <v>1340</v>
      </c>
      <c r="K145" s="135" t="s">
        <v>1385</v>
      </c>
      <c r="L145" s="135" t="s">
        <v>1342</v>
      </c>
      <c r="M145" s="135" t="s">
        <v>1866</v>
      </c>
      <c r="N145" s="135" t="s">
        <v>1344</v>
      </c>
      <c r="O145" s="135" t="s">
        <v>1345</v>
      </c>
      <c r="P145" s="135" t="s">
        <v>1346</v>
      </c>
      <c r="Q145" s="138">
        <v>4169</v>
      </c>
      <c r="R145" s="135">
        <v>4282</v>
      </c>
      <c r="S145" s="135" t="s">
        <v>1366</v>
      </c>
      <c r="T145" s="135" t="s">
        <v>1448</v>
      </c>
      <c r="U145" s="135">
        <v>1</v>
      </c>
      <c r="V145" s="135">
        <v>1270</v>
      </c>
      <c r="W145" s="135">
        <v>1290</v>
      </c>
      <c r="X145" s="135" t="s">
        <v>1348</v>
      </c>
      <c r="Y145" s="135" t="s">
        <v>1369</v>
      </c>
      <c r="Z145" s="134" t="s">
        <v>1350</v>
      </c>
      <c r="AA145" s="134"/>
    </row>
    <row r="146" spans="1:27" ht="15" hidden="1">
      <c r="A146" s="135" t="s">
        <v>1380</v>
      </c>
      <c r="B146" s="135">
        <v>4</v>
      </c>
      <c r="C146" s="136">
        <v>3</v>
      </c>
      <c r="D146" s="135" t="s">
        <v>1880</v>
      </c>
      <c r="E146" s="135" t="s">
        <v>1881</v>
      </c>
      <c r="F146" s="135"/>
      <c r="G146" s="135">
        <v>20</v>
      </c>
      <c r="H146" s="137" t="s">
        <v>1882</v>
      </c>
      <c r="I146" s="135" t="s">
        <v>1339</v>
      </c>
      <c r="J146" s="137" t="s">
        <v>1340</v>
      </c>
      <c r="K146" s="135" t="s">
        <v>1385</v>
      </c>
      <c r="L146" s="135" t="s">
        <v>1342</v>
      </c>
      <c r="M146" s="135" t="s">
        <v>1866</v>
      </c>
      <c r="N146" s="135" t="s">
        <v>1344</v>
      </c>
      <c r="O146" s="135" t="s">
        <v>1345</v>
      </c>
      <c r="P146" s="135" t="s">
        <v>1346</v>
      </c>
      <c r="Q146" s="138">
        <v>3985</v>
      </c>
      <c r="R146" s="135">
        <v>4124</v>
      </c>
      <c r="S146" s="135" t="s">
        <v>1347</v>
      </c>
      <c r="T146" s="135">
        <v>0</v>
      </c>
      <c r="U146" s="135">
        <v>0</v>
      </c>
      <c r="V146" s="135">
        <v>0</v>
      </c>
      <c r="W146" s="135">
        <v>0</v>
      </c>
      <c r="X146" s="135" t="s">
        <v>1368</v>
      </c>
      <c r="Y146" s="135" t="s">
        <v>1416</v>
      </c>
      <c r="Z146" s="134" t="s">
        <v>1350</v>
      </c>
      <c r="AA146" s="134"/>
    </row>
    <row r="147" spans="1:27" ht="15" hidden="1">
      <c r="A147" s="135" t="s">
        <v>1351</v>
      </c>
      <c r="B147" s="135">
        <v>6</v>
      </c>
      <c r="C147" s="136">
        <v>1</v>
      </c>
      <c r="D147" s="135" t="s">
        <v>1883</v>
      </c>
      <c r="E147" s="135" t="s">
        <v>1884</v>
      </c>
      <c r="F147" s="135"/>
      <c r="G147" s="135">
        <v>20</v>
      </c>
      <c r="H147" s="137" t="s">
        <v>1885</v>
      </c>
      <c r="I147" s="135" t="s">
        <v>1339</v>
      </c>
      <c r="J147" s="137" t="s">
        <v>1340</v>
      </c>
      <c r="K147" s="135" t="s">
        <v>1356</v>
      </c>
      <c r="L147" s="135" t="s">
        <v>1342</v>
      </c>
      <c r="M147" s="135" t="s">
        <v>1866</v>
      </c>
      <c r="N147" s="135" t="s">
        <v>1344</v>
      </c>
      <c r="O147" s="135" t="s">
        <v>1345</v>
      </c>
      <c r="P147" s="135" t="s">
        <v>1346</v>
      </c>
      <c r="Q147" s="138">
        <v>1285</v>
      </c>
      <c r="R147" s="135">
        <v>1507</v>
      </c>
      <c r="S147" s="135" t="s">
        <v>1347</v>
      </c>
      <c r="T147" s="135">
        <v>0</v>
      </c>
      <c r="U147" s="135">
        <v>0</v>
      </c>
      <c r="V147" s="135">
        <v>0</v>
      </c>
      <c r="W147" s="135">
        <v>0</v>
      </c>
      <c r="X147" s="135" t="s">
        <v>1408</v>
      </c>
      <c r="Y147" s="135" t="s">
        <v>1349</v>
      </c>
      <c r="Z147" s="134" t="s">
        <v>1350</v>
      </c>
      <c r="AA147" s="134"/>
    </row>
    <row r="148" spans="1:27" ht="15" hidden="1">
      <c r="A148" s="135" t="s">
        <v>1351</v>
      </c>
      <c r="B148" s="135">
        <v>5</v>
      </c>
      <c r="C148" s="136">
        <v>1</v>
      </c>
      <c r="D148" s="135" t="s">
        <v>1886</v>
      </c>
      <c r="E148" s="135" t="s">
        <v>1887</v>
      </c>
      <c r="F148" s="135"/>
      <c r="G148" s="135">
        <v>20</v>
      </c>
      <c r="H148" s="135">
        <v>-991.42700000000002</v>
      </c>
      <c r="I148" s="135" t="s">
        <v>1339</v>
      </c>
      <c r="J148" s="137" t="s">
        <v>1340</v>
      </c>
      <c r="K148" s="135" t="s">
        <v>1356</v>
      </c>
      <c r="L148" s="135" t="s">
        <v>1342</v>
      </c>
      <c r="M148" s="135" t="s">
        <v>1866</v>
      </c>
      <c r="N148" s="135" t="s">
        <v>1344</v>
      </c>
      <c r="O148" s="135" t="s">
        <v>1345</v>
      </c>
      <c r="P148" s="135" t="s">
        <v>1346</v>
      </c>
      <c r="Q148" s="138">
        <v>2068</v>
      </c>
      <c r="R148" s="135">
        <v>2088</v>
      </c>
      <c r="S148" s="135" t="s">
        <v>1347</v>
      </c>
      <c r="T148" s="135">
        <v>0</v>
      </c>
      <c r="U148" s="135">
        <v>0</v>
      </c>
      <c r="V148" s="135">
        <v>0</v>
      </c>
      <c r="W148" s="135">
        <v>0</v>
      </c>
      <c r="X148" s="135" t="s">
        <v>1348</v>
      </c>
      <c r="Y148" s="135" t="s">
        <v>1349</v>
      </c>
      <c r="Z148" s="134" t="s">
        <v>1350</v>
      </c>
      <c r="AA148" s="134"/>
    </row>
    <row r="149" spans="1:27" ht="15" hidden="1">
      <c r="A149" s="135" t="s">
        <v>1533</v>
      </c>
      <c r="B149" s="135">
        <v>1</v>
      </c>
      <c r="C149" s="136">
        <v>3</v>
      </c>
      <c r="D149" s="135" t="s">
        <v>1888</v>
      </c>
      <c r="E149" s="135" t="s">
        <v>1889</v>
      </c>
      <c r="F149" s="135"/>
      <c r="G149" s="135">
        <v>20</v>
      </c>
      <c r="H149" s="137" t="s">
        <v>1890</v>
      </c>
      <c r="I149" s="135" t="s">
        <v>1339</v>
      </c>
      <c r="J149" s="137" t="s">
        <v>1340</v>
      </c>
      <c r="K149" s="135" t="s">
        <v>1537</v>
      </c>
      <c r="L149" s="135" t="s">
        <v>1342</v>
      </c>
      <c r="M149" s="135" t="s">
        <v>1891</v>
      </c>
      <c r="N149" s="135" t="s">
        <v>1344</v>
      </c>
      <c r="O149" s="135" t="s">
        <v>1345</v>
      </c>
      <c r="P149" s="135" t="s">
        <v>1346</v>
      </c>
      <c r="Q149" s="138">
        <v>2895</v>
      </c>
      <c r="R149" s="135">
        <v>3022</v>
      </c>
      <c r="S149" s="135" t="s">
        <v>1347</v>
      </c>
      <c r="T149" s="135">
        <v>0</v>
      </c>
      <c r="U149" s="135">
        <v>0</v>
      </c>
      <c r="V149" s="135">
        <v>0</v>
      </c>
      <c r="W149" s="135">
        <v>0</v>
      </c>
      <c r="X149" s="135" t="s">
        <v>1386</v>
      </c>
      <c r="Y149" s="135" t="s">
        <v>1416</v>
      </c>
      <c r="Z149" s="134" t="s">
        <v>1350</v>
      </c>
      <c r="AA149" s="134"/>
    </row>
    <row r="150" spans="1:27" ht="15" hidden="1">
      <c r="A150" s="135" t="s">
        <v>1533</v>
      </c>
      <c r="B150" s="135">
        <v>5</v>
      </c>
      <c r="C150" s="136">
        <v>1</v>
      </c>
      <c r="D150" s="135" t="s">
        <v>1892</v>
      </c>
      <c r="E150" s="135" t="s">
        <v>1893</v>
      </c>
      <c r="F150" s="135"/>
      <c r="G150" s="135">
        <v>20</v>
      </c>
      <c r="H150" s="137" t="s">
        <v>1894</v>
      </c>
      <c r="I150" s="135" t="s">
        <v>1364</v>
      </c>
      <c r="J150" s="137" t="s">
        <v>1340</v>
      </c>
      <c r="K150" s="135" t="s">
        <v>1537</v>
      </c>
      <c r="L150" s="135" t="s">
        <v>1342</v>
      </c>
      <c r="M150" s="135" t="s">
        <v>1891</v>
      </c>
      <c r="N150" s="135" t="s">
        <v>1344</v>
      </c>
      <c r="O150" s="135" t="s">
        <v>1345</v>
      </c>
      <c r="P150" s="135" t="s">
        <v>1346</v>
      </c>
      <c r="Q150" s="138">
        <v>3978</v>
      </c>
      <c r="R150" s="135">
        <v>4566</v>
      </c>
      <c r="S150" s="135" t="s">
        <v>1366</v>
      </c>
      <c r="T150" s="135" t="s">
        <v>1448</v>
      </c>
      <c r="U150" s="135">
        <v>1</v>
      </c>
      <c r="V150" s="135">
        <v>1270</v>
      </c>
      <c r="W150" s="135">
        <v>1290</v>
      </c>
      <c r="X150" s="135" t="s">
        <v>1348</v>
      </c>
      <c r="Y150" s="135" t="s">
        <v>1369</v>
      </c>
      <c r="Z150" s="134" t="s">
        <v>1350</v>
      </c>
      <c r="AA150" s="134"/>
    </row>
    <row r="151" spans="1:27" ht="15" hidden="1">
      <c r="A151" s="135" t="s">
        <v>1351</v>
      </c>
      <c r="B151" s="135">
        <v>5</v>
      </c>
      <c r="C151" s="136">
        <v>1</v>
      </c>
      <c r="D151" s="135" t="s">
        <v>1895</v>
      </c>
      <c r="E151" s="135" t="s">
        <v>1896</v>
      </c>
      <c r="F151" s="135"/>
      <c r="G151" s="135">
        <v>20</v>
      </c>
      <c r="H151" s="135">
        <v>-991.94500000000005</v>
      </c>
      <c r="I151" s="135" t="s">
        <v>1339</v>
      </c>
      <c r="J151" s="137" t="s">
        <v>1340</v>
      </c>
      <c r="K151" s="135" t="s">
        <v>1356</v>
      </c>
      <c r="L151" s="135" t="s">
        <v>1342</v>
      </c>
      <c r="M151" s="135" t="s">
        <v>1891</v>
      </c>
      <c r="N151" s="135" t="s">
        <v>1344</v>
      </c>
      <c r="O151" s="135" t="s">
        <v>1345</v>
      </c>
      <c r="P151" s="135" t="s">
        <v>1346</v>
      </c>
      <c r="Q151" s="138">
        <v>3823</v>
      </c>
      <c r="R151" s="135">
        <v>3943</v>
      </c>
      <c r="S151" s="135" t="s">
        <v>1347</v>
      </c>
      <c r="T151" s="135">
        <v>0</v>
      </c>
      <c r="U151" s="135">
        <v>0</v>
      </c>
      <c r="V151" s="135">
        <v>0</v>
      </c>
      <c r="W151" s="135">
        <v>0</v>
      </c>
      <c r="X151" s="135" t="s">
        <v>1348</v>
      </c>
      <c r="Y151" s="135" t="s">
        <v>1349</v>
      </c>
      <c r="Z151" s="134" t="s">
        <v>1350</v>
      </c>
      <c r="AA151" s="134"/>
    </row>
    <row r="152" spans="1:27" ht="15" hidden="1">
      <c r="A152" s="135" t="s">
        <v>1533</v>
      </c>
      <c r="B152" s="135">
        <v>2</v>
      </c>
      <c r="C152" s="136">
        <v>1</v>
      </c>
      <c r="D152" s="135" t="s">
        <v>1897</v>
      </c>
      <c r="E152" s="135" t="s">
        <v>1898</v>
      </c>
      <c r="F152" s="135"/>
      <c r="G152" s="135">
        <v>20</v>
      </c>
      <c r="H152" s="137" t="s">
        <v>1899</v>
      </c>
      <c r="I152" s="135" t="s">
        <v>1339</v>
      </c>
      <c r="J152" s="137" t="s">
        <v>1340</v>
      </c>
      <c r="K152" s="135" t="s">
        <v>1537</v>
      </c>
      <c r="L152" s="135" t="s">
        <v>1342</v>
      </c>
      <c r="M152" s="135" t="s">
        <v>1891</v>
      </c>
      <c r="N152" s="135" t="s">
        <v>1344</v>
      </c>
      <c r="O152" s="135" t="s">
        <v>1345</v>
      </c>
      <c r="P152" s="135" t="s">
        <v>1346</v>
      </c>
      <c r="Q152" s="138">
        <v>3424</v>
      </c>
      <c r="R152" s="135">
        <v>3477</v>
      </c>
      <c r="S152" s="135" t="s">
        <v>1347</v>
      </c>
      <c r="T152" s="135">
        <v>0</v>
      </c>
      <c r="U152" s="135">
        <v>0</v>
      </c>
      <c r="V152" s="135">
        <v>0</v>
      </c>
      <c r="W152" s="135">
        <v>0</v>
      </c>
      <c r="X152" s="135" t="s">
        <v>1443</v>
      </c>
      <c r="Y152" s="135" t="s">
        <v>1349</v>
      </c>
      <c r="Z152" s="134" t="s">
        <v>1350</v>
      </c>
      <c r="AA152" s="134"/>
    </row>
    <row r="153" spans="1:27" ht="15" hidden="1">
      <c r="A153" s="135" t="s">
        <v>1533</v>
      </c>
      <c r="B153" s="135">
        <v>4</v>
      </c>
      <c r="C153" s="136">
        <v>1</v>
      </c>
      <c r="D153" s="135" t="s">
        <v>1900</v>
      </c>
      <c r="E153" s="135" t="s">
        <v>1901</v>
      </c>
      <c r="F153" s="135"/>
      <c r="G153" s="135">
        <v>20</v>
      </c>
      <c r="H153" s="137" t="s">
        <v>1902</v>
      </c>
      <c r="I153" s="135" t="s">
        <v>1364</v>
      </c>
      <c r="J153" s="137" t="s">
        <v>1340</v>
      </c>
      <c r="K153" s="135" t="s">
        <v>1537</v>
      </c>
      <c r="L153" s="135" t="s">
        <v>1342</v>
      </c>
      <c r="M153" s="135" t="s">
        <v>1891</v>
      </c>
      <c r="N153" s="135" t="s">
        <v>1344</v>
      </c>
      <c r="O153" s="135" t="s">
        <v>1345</v>
      </c>
      <c r="P153" s="135" t="s">
        <v>1346</v>
      </c>
      <c r="Q153" s="138">
        <v>4288</v>
      </c>
      <c r="R153" s="135">
        <v>4408</v>
      </c>
      <c r="S153" s="135" t="s">
        <v>1366</v>
      </c>
      <c r="T153" s="135" t="s">
        <v>1367</v>
      </c>
      <c r="U153" s="135">
        <v>2</v>
      </c>
      <c r="V153" s="135">
        <v>1310</v>
      </c>
      <c r="W153" s="135">
        <v>1330</v>
      </c>
      <c r="X153" s="135" t="s">
        <v>1368</v>
      </c>
      <c r="Y153" s="135" t="s">
        <v>1369</v>
      </c>
      <c r="Z153" s="134" t="s">
        <v>1350</v>
      </c>
      <c r="AA153" s="134"/>
    </row>
    <row r="154" spans="1:27" ht="15" hidden="1">
      <c r="A154" s="135" t="s">
        <v>1533</v>
      </c>
      <c r="B154" s="135">
        <v>1</v>
      </c>
      <c r="C154" s="136">
        <v>1</v>
      </c>
      <c r="D154" s="135" t="s">
        <v>1903</v>
      </c>
      <c r="E154" s="135" t="s">
        <v>1904</v>
      </c>
      <c r="F154" s="135"/>
      <c r="G154" s="135">
        <v>20</v>
      </c>
      <c r="H154" s="137" t="s">
        <v>1905</v>
      </c>
      <c r="I154" s="135" t="s">
        <v>1339</v>
      </c>
      <c r="J154" s="137" t="s">
        <v>1340</v>
      </c>
      <c r="K154" s="135" t="s">
        <v>1537</v>
      </c>
      <c r="L154" s="135" t="s">
        <v>1342</v>
      </c>
      <c r="M154" s="135" t="s">
        <v>1891</v>
      </c>
      <c r="N154" s="135" t="s">
        <v>1344</v>
      </c>
      <c r="O154" s="135" t="s">
        <v>1345</v>
      </c>
      <c r="P154" s="135" t="s">
        <v>1346</v>
      </c>
      <c r="Q154" s="138">
        <v>2734</v>
      </c>
      <c r="R154" s="135">
        <v>2766</v>
      </c>
      <c r="S154" s="135" t="s">
        <v>1347</v>
      </c>
      <c r="T154" s="135">
        <v>0</v>
      </c>
      <c r="U154" s="135">
        <v>0</v>
      </c>
      <c r="V154" s="135">
        <v>0</v>
      </c>
      <c r="W154" s="135">
        <v>0</v>
      </c>
      <c r="X154" s="135" t="s">
        <v>1386</v>
      </c>
      <c r="Y154" s="135" t="s">
        <v>1349</v>
      </c>
      <c r="Z154" s="134" t="s">
        <v>1350</v>
      </c>
      <c r="AA154" s="134"/>
    </row>
    <row r="155" spans="1:27" ht="15" hidden="1">
      <c r="A155" s="135" t="s">
        <v>1533</v>
      </c>
      <c r="B155" s="135">
        <v>4</v>
      </c>
      <c r="C155" s="136">
        <v>1</v>
      </c>
      <c r="D155" s="135" t="s">
        <v>1906</v>
      </c>
      <c r="E155" s="135" t="s">
        <v>1907</v>
      </c>
      <c r="F155" s="135"/>
      <c r="G155" s="135">
        <v>20</v>
      </c>
      <c r="H155" s="137" t="s">
        <v>1908</v>
      </c>
      <c r="I155" s="135" t="s">
        <v>1364</v>
      </c>
      <c r="J155" s="137" t="s">
        <v>1340</v>
      </c>
      <c r="K155" s="135" t="s">
        <v>1537</v>
      </c>
      <c r="L155" s="135" t="s">
        <v>1342</v>
      </c>
      <c r="M155" s="135" t="s">
        <v>1891</v>
      </c>
      <c r="N155" s="135" t="s">
        <v>1344</v>
      </c>
      <c r="O155" s="135" t="s">
        <v>1345</v>
      </c>
      <c r="P155" s="135" t="s">
        <v>1346</v>
      </c>
      <c r="Q155" s="138">
        <v>4444</v>
      </c>
      <c r="R155" s="135">
        <v>4682</v>
      </c>
      <c r="S155" s="135" t="s">
        <v>1366</v>
      </c>
      <c r="T155" s="135" t="s">
        <v>1367</v>
      </c>
      <c r="U155" s="135">
        <v>3</v>
      </c>
      <c r="V155" s="135">
        <v>1350</v>
      </c>
      <c r="W155" s="135">
        <v>1370</v>
      </c>
      <c r="X155" s="135" t="s">
        <v>1368</v>
      </c>
      <c r="Y155" s="135" t="s">
        <v>1369</v>
      </c>
      <c r="Z155" s="134" t="s">
        <v>1350</v>
      </c>
      <c r="AA155" s="134"/>
    </row>
    <row r="156" spans="1:27" ht="15" hidden="1">
      <c r="A156" s="135" t="s">
        <v>1533</v>
      </c>
      <c r="B156" s="135">
        <v>4</v>
      </c>
      <c r="C156" s="136">
        <v>1</v>
      </c>
      <c r="D156" s="135" t="s">
        <v>1909</v>
      </c>
      <c r="E156" s="135" t="s">
        <v>1910</v>
      </c>
      <c r="F156" s="135"/>
      <c r="G156" s="135">
        <v>20</v>
      </c>
      <c r="H156" s="137" t="s">
        <v>1911</v>
      </c>
      <c r="I156" s="135" t="s">
        <v>1364</v>
      </c>
      <c r="J156" s="137" t="s">
        <v>1340</v>
      </c>
      <c r="K156" s="135" t="s">
        <v>1537</v>
      </c>
      <c r="L156" s="135" t="s">
        <v>1342</v>
      </c>
      <c r="M156" s="135" t="s">
        <v>1891</v>
      </c>
      <c r="N156" s="135" t="s">
        <v>1344</v>
      </c>
      <c r="O156" s="135" t="s">
        <v>1345</v>
      </c>
      <c r="P156" s="135" t="s">
        <v>1346</v>
      </c>
      <c r="Q156" s="138">
        <v>3857</v>
      </c>
      <c r="R156" s="135">
        <v>3898</v>
      </c>
      <c r="S156" s="135" t="s">
        <v>1366</v>
      </c>
      <c r="T156" s="135" t="s">
        <v>1367</v>
      </c>
      <c r="U156" s="135">
        <v>1</v>
      </c>
      <c r="V156" s="135">
        <v>1270</v>
      </c>
      <c r="W156" s="135">
        <v>1290</v>
      </c>
      <c r="X156" s="135" t="s">
        <v>1368</v>
      </c>
      <c r="Y156" s="135" t="s">
        <v>1369</v>
      </c>
      <c r="Z156" s="134" t="s">
        <v>1350</v>
      </c>
      <c r="AA156" s="134"/>
    </row>
    <row r="157" spans="1:27" ht="15" hidden="1">
      <c r="A157" s="135" t="s">
        <v>1351</v>
      </c>
      <c r="B157" s="135">
        <v>5</v>
      </c>
      <c r="C157" s="136">
        <v>3</v>
      </c>
      <c r="D157" s="135" t="s">
        <v>1912</v>
      </c>
      <c r="E157" s="135" t="s">
        <v>1913</v>
      </c>
      <c r="F157" s="135"/>
      <c r="G157" s="135">
        <v>20</v>
      </c>
      <c r="H157" s="135">
        <v>-991.94100000000003</v>
      </c>
      <c r="I157" s="135" t="s">
        <v>1339</v>
      </c>
      <c r="J157" s="137" t="s">
        <v>1340</v>
      </c>
      <c r="K157" s="135" t="s">
        <v>1356</v>
      </c>
      <c r="L157" s="135" t="s">
        <v>1342</v>
      </c>
      <c r="M157" s="135" t="s">
        <v>1891</v>
      </c>
      <c r="N157" s="135" t="s">
        <v>1344</v>
      </c>
      <c r="O157" s="135" t="s">
        <v>1345</v>
      </c>
      <c r="P157" s="135" t="s">
        <v>1346</v>
      </c>
      <c r="Q157" s="138">
        <v>3872</v>
      </c>
      <c r="R157" s="135">
        <v>3965</v>
      </c>
      <c r="S157" s="135" t="s">
        <v>1347</v>
      </c>
      <c r="T157" s="135">
        <v>0</v>
      </c>
      <c r="U157" s="135">
        <v>0</v>
      </c>
      <c r="V157" s="135">
        <v>0</v>
      </c>
      <c r="W157" s="135">
        <v>0</v>
      </c>
      <c r="X157" s="135" t="s">
        <v>1348</v>
      </c>
      <c r="Y157" s="135" t="s">
        <v>1416</v>
      </c>
      <c r="Z157" s="134" t="s">
        <v>1350</v>
      </c>
      <c r="AA157" s="134"/>
    </row>
    <row r="158" spans="1:27" ht="15" hidden="1">
      <c r="A158" s="135" t="s">
        <v>1533</v>
      </c>
      <c r="B158" s="135">
        <v>5</v>
      </c>
      <c r="C158" s="136">
        <v>1</v>
      </c>
      <c r="D158" s="135" t="s">
        <v>1914</v>
      </c>
      <c r="E158" s="135" t="s">
        <v>1915</v>
      </c>
      <c r="F158" s="135"/>
      <c r="G158" s="135">
        <v>20</v>
      </c>
      <c r="H158" s="137" t="s">
        <v>1916</v>
      </c>
      <c r="I158" s="135" t="s">
        <v>1364</v>
      </c>
      <c r="J158" s="137" t="s">
        <v>1340</v>
      </c>
      <c r="K158" s="135" t="s">
        <v>1917</v>
      </c>
      <c r="L158" s="135" t="s">
        <v>1342</v>
      </c>
      <c r="M158" s="135" t="s">
        <v>1891</v>
      </c>
      <c r="N158" s="135" t="s">
        <v>1344</v>
      </c>
      <c r="O158" s="135" t="s">
        <v>1345</v>
      </c>
      <c r="P158" s="135" t="s">
        <v>1346</v>
      </c>
      <c r="Q158" s="138">
        <v>4889</v>
      </c>
      <c r="R158" s="135">
        <v>5120</v>
      </c>
      <c r="S158" s="135" t="s">
        <v>1366</v>
      </c>
      <c r="T158" s="135" t="s">
        <v>1448</v>
      </c>
      <c r="U158" s="135">
        <v>2</v>
      </c>
      <c r="V158" s="135">
        <v>1310</v>
      </c>
      <c r="W158" s="135">
        <v>1330</v>
      </c>
      <c r="X158" s="135" t="s">
        <v>1348</v>
      </c>
      <c r="Y158" s="135" t="s">
        <v>1369</v>
      </c>
      <c r="Z158" s="134" t="s">
        <v>1350</v>
      </c>
      <c r="AA158" s="134"/>
    </row>
    <row r="159" spans="1:27" ht="15" hidden="1">
      <c r="A159" s="135" t="s">
        <v>1533</v>
      </c>
      <c r="B159" s="135">
        <v>5</v>
      </c>
      <c r="C159" s="136">
        <v>1</v>
      </c>
      <c r="D159" s="135" t="s">
        <v>1918</v>
      </c>
      <c r="E159" s="135" t="s">
        <v>1919</v>
      </c>
      <c r="F159" s="135"/>
      <c r="G159" s="135">
        <v>20</v>
      </c>
      <c r="H159" s="137" t="s">
        <v>1920</v>
      </c>
      <c r="I159" s="135" t="s">
        <v>1364</v>
      </c>
      <c r="J159" s="137" t="s">
        <v>1340</v>
      </c>
      <c r="K159" s="135" t="s">
        <v>1917</v>
      </c>
      <c r="L159" s="135" t="s">
        <v>1342</v>
      </c>
      <c r="M159" s="135" t="s">
        <v>1891</v>
      </c>
      <c r="N159" s="135" t="s">
        <v>1344</v>
      </c>
      <c r="O159" s="135" t="s">
        <v>1345</v>
      </c>
      <c r="P159" s="135" t="s">
        <v>1346</v>
      </c>
      <c r="Q159" s="138">
        <v>4889</v>
      </c>
      <c r="R159" s="135">
        <v>6135</v>
      </c>
      <c r="S159" s="135" t="s">
        <v>1366</v>
      </c>
      <c r="T159" s="135" t="s">
        <v>1448</v>
      </c>
      <c r="U159" s="135">
        <v>3</v>
      </c>
      <c r="V159" s="135">
        <v>1350</v>
      </c>
      <c r="W159" s="135">
        <v>1370</v>
      </c>
      <c r="X159" s="135" t="s">
        <v>1348</v>
      </c>
      <c r="Y159" s="135" t="s">
        <v>1369</v>
      </c>
      <c r="Z159" s="134" t="s">
        <v>1350</v>
      </c>
      <c r="AA159" s="134"/>
    </row>
    <row r="160" spans="1:27" ht="15" hidden="1">
      <c r="A160" s="135" t="s">
        <v>1533</v>
      </c>
      <c r="B160" s="135">
        <v>5</v>
      </c>
      <c r="C160" s="136">
        <v>1</v>
      </c>
      <c r="D160" s="135" t="s">
        <v>1921</v>
      </c>
      <c r="E160" s="135" t="s">
        <v>1922</v>
      </c>
      <c r="F160" s="135"/>
      <c r="G160" s="135">
        <v>20</v>
      </c>
      <c r="H160" s="137" t="s">
        <v>1923</v>
      </c>
      <c r="I160" s="135" t="s">
        <v>1364</v>
      </c>
      <c r="J160" s="137" t="s">
        <v>1340</v>
      </c>
      <c r="K160" s="135" t="s">
        <v>1917</v>
      </c>
      <c r="L160" s="135" t="s">
        <v>1342</v>
      </c>
      <c r="M160" s="135" t="s">
        <v>1891</v>
      </c>
      <c r="N160" s="135" t="s">
        <v>1344</v>
      </c>
      <c r="O160" s="135" t="s">
        <v>1345</v>
      </c>
      <c r="P160" s="135" t="s">
        <v>1346</v>
      </c>
      <c r="Q160" s="138">
        <v>4961</v>
      </c>
      <c r="R160" s="135">
        <v>5378</v>
      </c>
      <c r="S160" s="135" t="s">
        <v>1366</v>
      </c>
      <c r="T160" s="135" t="s">
        <v>1448</v>
      </c>
      <c r="U160" s="135">
        <v>4</v>
      </c>
      <c r="V160" s="135">
        <v>1390</v>
      </c>
      <c r="W160" s="135">
        <v>1410</v>
      </c>
      <c r="X160" s="135" t="s">
        <v>1348</v>
      </c>
      <c r="Y160" s="135" t="s">
        <v>1369</v>
      </c>
      <c r="Z160" s="134" t="s">
        <v>1350</v>
      </c>
      <c r="AA160" s="134"/>
    </row>
    <row r="161" spans="1:27" ht="15" hidden="1">
      <c r="A161" s="135" t="s">
        <v>1533</v>
      </c>
      <c r="B161" s="135">
        <v>5</v>
      </c>
      <c r="C161" s="136">
        <v>1</v>
      </c>
      <c r="D161" s="135" t="s">
        <v>1924</v>
      </c>
      <c r="E161" s="135" t="s">
        <v>1925</v>
      </c>
      <c r="F161" s="135"/>
      <c r="G161" s="135">
        <v>20</v>
      </c>
      <c r="H161" s="137" t="s">
        <v>1926</v>
      </c>
      <c r="I161" s="135" t="s">
        <v>1364</v>
      </c>
      <c r="J161" s="135" t="s">
        <v>1927</v>
      </c>
      <c r="K161" s="135" t="s">
        <v>1917</v>
      </c>
      <c r="L161" s="135" t="s">
        <v>1342</v>
      </c>
      <c r="M161" s="135" t="s">
        <v>1891</v>
      </c>
      <c r="N161" s="135" t="s">
        <v>1344</v>
      </c>
      <c r="O161" s="135" t="s">
        <v>1345</v>
      </c>
      <c r="P161" s="135" t="s">
        <v>1346</v>
      </c>
      <c r="Q161" s="138">
        <v>4961</v>
      </c>
      <c r="R161" s="135">
        <v>5345</v>
      </c>
      <c r="S161" s="135" t="s">
        <v>1366</v>
      </c>
      <c r="T161" s="135" t="s">
        <v>1448</v>
      </c>
      <c r="U161" s="135">
        <v>5</v>
      </c>
      <c r="V161" s="135">
        <v>1430</v>
      </c>
      <c r="W161" s="135">
        <v>1450</v>
      </c>
      <c r="X161" s="135" t="s">
        <v>1348</v>
      </c>
      <c r="Y161" s="135" t="s">
        <v>1369</v>
      </c>
      <c r="Z161" s="134" t="s">
        <v>1350</v>
      </c>
      <c r="AA161" s="134"/>
    </row>
    <row r="162" spans="1:27" ht="15" hidden="1">
      <c r="A162" s="135" t="s">
        <v>1486</v>
      </c>
      <c r="B162" s="135">
        <v>2</v>
      </c>
      <c r="C162" s="136">
        <v>1</v>
      </c>
      <c r="D162" s="135" t="s">
        <v>1928</v>
      </c>
      <c r="E162" s="135" t="s">
        <v>1929</v>
      </c>
      <c r="F162" s="135"/>
      <c r="G162" s="135">
        <v>-99</v>
      </c>
      <c r="H162" s="135" t="s">
        <v>1930</v>
      </c>
      <c r="I162" s="135" t="s">
        <v>1364</v>
      </c>
      <c r="J162" s="137" t="s">
        <v>1340</v>
      </c>
      <c r="K162" s="135" t="s">
        <v>1627</v>
      </c>
      <c r="L162" s="135" t="s">
        <v>1342</v>
      </c>
      <c r="M162" s="135" t="s">
        <v>1931</v>
      </c>
      <c r="N162" s="135" t="s">
        <v>1344</v>
      </c>
      <c r="O162" s="135" t="s">
        <v>1345</v>
      </c>
      <c r="P162" s="135" t="s">
        <v>1346</v>
      </c>
      <c r="Q162" s="138">
        <v>6551</v>
      </c>
      <c r="R162" s="135">
        <v>7281</v>
      </c>
      <c r="S162" s="135" t="s">
        <v>1366</v>
      </c>
      <c r="T162" s="135" t="s">
        <v>1606</v>
      </c>
      <c r="U162" s="135">
        <v>4</v>
      </c>
      <c r="V162" s="135">
        <v>1390</v>
      </c>
      <c r="W162" s="135">
        <v>1410</v>
      </c>
      <c r="X162" s="135" t="s">
        <v>1443</v>
      </c>
      <c r="Y162" s="135" t="s">
        <v>1386</v>
      </c>
      <c r="Z162" s="134" t="s">
        <v>1350</v>
      </c>
      <c r="AA162" s="134"/>
    </row>
    <row r="163" spans="1:27" ht="15" hidden="1">
      <c r="A163" s="135" t="s">
        <v>1639</v>
      </c>
      <c r="B163" s="135">
        <v>5</v>
      </c>
      <c r="C163" s="136">
        <v>1</v>
      </c>
      <c r="D163" s="135" t="s">
        <v>1932</v>
      </c>
      <c r="E163" s="135" t="s">
        <v>1933</v>
      </c>
      <c r="F163" s="135"/>
      <c r="G163" s="135">
        <v>20</v>
      </c>
      <c r="H163" s="137" t="s">
        <v>1934</v>
      </c>
      <c r="I163" s="135" t="s">
        <v>1935</v>
      </c>
      <c r="J163" s="137" t="s">
        <v>1340</v>
      </c>
      <c r="K163" s="135" t="s">
        <v>1643</v>
      </c>
      <c r="L163" s="135" t="s">
        <v>1342</v>
      </c>
      <c r="M163" s="135" t="s">
        <v>1931</v>
      </c>
      <c r="N163" s="135" t="s">
        <v>1344</v>
      </c>
      <c r="O163" s="135" t="s">
        <v>1345</v>
      </c>
      <c r="P163" s="135" t="s">
        <v>1346</v>
      </c>
      <c r="Q163" s="138">
        <v>8074</v>
      </c>
      <c r="R163" s="135">
        <v>9644</v>
      </c>
      <c r="S163" s="135" t="s">
        <v>1366</v>
      </c>
      <c r="T163" s="135" t="s">
        <v>1448</v>
      </c>
      <c r="U163" s="135">
        <v>1</v>
      </c>
      <c r="V163" s="135">
        <v>1270</v>
      </c>
      <c r="W163" s="135">
        <v>1290</v>
      </c>
      <c r="X163" s="135" t="s">
        <v>1348</v>
      </c>
      <c r="Y163" s="135" t="s">
        <v>1369</v>
      </c>
      <c r="Z163" s="134" t="s">
        <v>1350</v>
      </c>
      <c r="AA163" s="134"/>
    </row>
    <row r="164" spans="1:27" ht="15" hidden="1">
      <c r="A164" s="135" t="s">
        <v>1639</v>
      </c>
      <c r="B164" s="135">
        <v>5</v>
      </c>
      <c r="C164" s="136">
        <v>1</v>
      </c>
      <c r="D164" s="135" t="s">
        <v>1936</v>
      </c>
      <c r="E164" s="135" t="s">
        <v>1937</v>
      </c>
      <c r="F164" s="135"/>
      <c r="G164" s="135">
        <v>20</v>
      </c>
      <c r="H164" s="137" t="s">
        <v>1938</v>
      </c>
      <c r="I164" s="135" t="s">
        <v>1935</v>
      </c>
      <c r="J164" s="137" t="s">
        <v>1340</v>
      </c>
      <c r="K164" s="135" t="s">
        <v>1643</v>
      </c>
      <c r="L164" s="135" t="s">
        <v>1342</v>
      </c>
      <c r="M164" s="135" t="s">
        <v>1931</v>
      </c>
      <c r="N164" s="135" t="s">
        <v>1344</v>
      </c>
      <c r="O164" s="135" t="s">
        <v>1345</v>
      </c>
      <c r="P164" s="135" t="s">
        <v>1346</v>
      </c>
      <c r="Q164" s="138">
        <v>8074</v>
      </c>
      <c r="R164" s="135">
        <v>9156</v>
      </c>
      <c r="S164" s="135" t="s">
        <v>1366</v>
      </c>
      <c r="T164" s="135" t="s">
        <v>1448</v>
      </c>
      <c r="U164" s="135">
        <v>2</v>
      </c>
      <c r="V164" s="135">
        <v>1310</v>
      </c>
      <c r="W164" s="135">
        <v>1330</v>
      </c>
      <c r="X164" s="135" t="s">
        <v>1348</v>
      </c>
      <c r="Y164" s="135" t="s">
        <v>1369</v>
      </c>
      <c r="Z164" s="134" t="s">
        <v>1350</v>
      </c>
      <c r="AA164" s="134"/>
    </row>
    <row r="165" spans="1:27" ht="15" hidden="1">
      <c r="A165" s="135" t="s">
        <v>1639</v>
      </c>
      <c r="B165" s="135">
        <v>5</v>
      </c>
      <c r="C165" s="136">
        <v>1</v>
      </c>
      <c r="D165" s="135" t="s">
        <v>1939</v>
      </c>
      <c r="E165" s="135" t="s">
        <v>1940</v>
      </c>
      <c r="F165" s="135"/>
      <c r="G165" s="135">
        <v>20</v>
      </c>
      <c r="H165" s="137" t="s">
        <v>1941</v>
      </c>
      <c r="I165" s="135" t="s">
        <v>1364</v>
      </c>
      <c r="J165" s="137" t="s">
        <v>1340</v>
      </c>
      <c r="K165" s="135" t="s">
        <v>1643</v>
      </c>
      <c r="L165" s="135" t="s">
        <v>1342</v>
      </c>
      <c r="M165" s="135" t="s">
        <v>1931</v>
      </c>
      <c r="N165" s="135" t="s">
        <v>1344</v>
      </c>
      <c r="O165" s="135" t="s">
        <v>1345</v>
      </c>
      <c r="P165" s="135" t="s">
        <v>1346</v>
      </c>
      <c r="Q165" s="138">
        <v>8074</v>
      </c>
      <c r="R165" s="135">
        <v>8574</v>
      </c>
      <c r="S165" s="135" t="s">
        <v>1366</v>
      </c>
      <c r="T165" s="135" t="s">
        <v>1448</v>
      </c>
      <c r="U165" s="135">
        <v>3</v>
      </c>
      <c r="V165" s="135">
        <v>1350</v>
      </c>
      <c r="W165" s="135">
        <v>1370</v>
      </c>
      <c r="X165" s="135" t="s">
        <v>1348</v>
      </c>
      <c r="Y165" s="135" t="s">
        <v>1369</v>
      </c>
      <c r="Z165" s="134" t="s">
        <v>1350</v>
      </c>
      <c r="AA165" s="134"/>
    </row>
    <row r="166" spans="1:27" ht="15" hidden="1">
      <c r="A166" s="135" t="s">
        <v>1370</v>
      </c>
      <c r="B166" s="135">
        <v>3</v>
      </c>
      <c r="C166" s="136">
        <v>1</v>
      </c>
      <c r="D166" s="135" t="s">
        <v>1942</v>
      </c>
      <c r="E166" s="135" t="s">
        <v>1943</v>
      </c>
      <c r="F166" s="135"/>
      <c r="G166" s="135">
        <v>20</v>
      </c>
      <c r="H166" s="137" t="s">
        <v>1944</v>
      </c>
      <c r="I166" s="135" t="s">
        <v>1339</v>
      </c>
      <c r="J166" s="137" t="s">
        <v>1340</v>
      </c>
      <c r="K166" s="135" t="s">
        <v>1375</v>
      </c>
      <c r="L166" s="135" t="s">
        <v>1342</v>
      </c>
      <c r="M166" s="135" t="s">
        <v>1931</v>
      </c>
      <c r="N166" s="135" t="s">
        <v>1344</v>
      </c>
      <c r="O166" s="135" t="s">
        <v>1345</v>
      </c>
      <c r="P166" s="135" t="s">
        <v>1346</v>
      </c>
      <c r="Q166" s="138">
        <v>3491</v>
      </c>
      <c r="R166" s="135">
        <v>3716</v>
      </c>
      <c r="S166" s="135" t="s">
        <v>1347</v>
      </c>
      <c r="T166" s="135">
        <v>0</v>
      </c>
      <c r="U166" s="135">
        <v>0</v>
      </c>
      <c r="V166" s="135">
        <v>0</v>
      </c>
      <c r="W166" s="135">
        <v>0</v>
      </c>
      <c r="X166" s="135" t="s">
        <v>1393</v>
      </c>
      <c r="Y166" s="135" t="s">
        <v>1349</v>
      </c>
      <c r="Z166" s="134" t="s">
        <v>1350</v>
      </c>
      <c r="AA166" s="134"/>
    </row>
    <row r="167" spans="1:27" ht="15" hidden="1">
      <c r="A167" s="135" t="s">
        <v>1370</v>
      </c>
      <c r="B167" s="135">
        <v>1</v>
      </c>
      <c r="C167" s="136">
        <v>1</v>
      </c>
      <c r="D167" s="135" t="s">
        <v>1945</v>
      </c>
      <c r="E167" s="135" t="s">
        <v>1946</v>
      </c>
      <c r="F167" s="135"/>
      <c r="G167" s="135">
        <v>20</v>
      </c>
      <c r="H167" s="137" t="s">
        <v>1947</v>
      </c>
      <c r="I167" s="135" t="s">
        <v>1339</v>
      </c>
      <c r="J167" s="137" t="s">
        <v>1340</v>
      </c>
      <c r="K167" s="135" t="s">
        <v>1375</v>
      </c>
      <c r="L167" s="135" t="s">
        <v>1342</v>
      </c>
      <c r="M167" s="135" t="s">
        <v>1931</v>
      </c>
      <c r="N167" s="135" t="s">
        <v>1344</v>
      </c>
      <c r="O167" s="135" t="s">
        <v>1345</v>
      </c>
      <c r="P167" s="135" t="s">
        <v>1346</v>
      </c>
      <c r="Q167" s="138">
        <v>3037</v>
      </c>
      <c r="R167" s="135">
        <v>3565</v>
      </c>
      <c r="S167" s="135" t="s">
        <v>1347</v>
      </c>
      <c r="T167" s="135">
        <v>0</v>
      </c>
      <c r="U167" s="135">
        <v>0</v>
      </c>
      <c r="V167" s="135">
        <v>0</v>
      </c>
      <c r="W167" s="135">
        <v>0</v>
      </c>
      <c r="X167" s="135" t="s">
        <v>1386</v>
      </c>
      <c r="Y167" s="135" t="s">
        <v>1349</v>
      </c>
      <c r="Z167" s="134" t="s">
        <v>1350</v>
      </c>
      <c r="AA167" s="134"/>
    </row>
    <row r="168" spans="1:27" ht="15" hidden="1">
      <c r="A168" s="135" t="s">
        <v>1370</v>
      </c>
      <c r="B168" s="135">
        <v>3</v>
      </c>
      <c r="C168" s="136">
        <v>3</v>
      </c>
      <c r="D168" s="135" t="s">
        <v>1948</v>
      </c>
      <c r="E168" s="135" t="s">
        <v>1949</v>
      </c>
      <c r="F168" s="135"/>
      <c r="G168" s="135">
        <v>20</v>
      </c>
      <c r="H168" s="137" t="s">
        <v>1950</v>
      </c>
      <c r="I168" s="135" t="s">
        <v>1339</v>
      </c>
      <c r="J168" s="137" t="s">
        <v>1340</v>
      </c>
      <c r="K168" s="135" t="s">
        <v>1951</v>
      </c>
      <c r="L168" s="135" t="s">
        <v>1342</v>
      </c>
      <c r="M168" s="135" t="s">
        <v>1931</v>
      </c>
      <c r="N168" s="135" t="s">
        <v>1344</v>
      </c>
      <c r="O168" s="135" t="s">
        <v>1345</v>
      </c>
      <c r="P168" s="135" t="s">
        <v>1346</v>
      </c>
      <c r="Q168" s="138">
        <v>3382</v>
      </c>
      <c r="R168" s="135">
        <v>3482</v>
      </c>
      <c r="S168" s="135" t="s">
        <v>1347</v>
      </c>
      <c r="T168" s="135">
        <v>0</v>
      </c>
      <c r="U168" s="135">
        <v>0</v>
      </c>
      <c r="V168" s="135">
        <v>0</v>
      </c>
      <c r="W168" s="135">
        <v>0</v>
      </c>
      <c r="X168" s="135" t="s">
        <v>1393</v>
      </c>
      <c r="Y168" s="135" t="s">
        <v>1416</v>
      </c>
      <c r="Z168" s="134" t="s">
        <v>1350</v>
      </c>
      <c r="AA168" s="134"/>
    </row>
    <row r="169" spans="1:27" ht="15" hidden="1">
      <c r="A169" s="135" t="s">
        <v>1460</v>
      </c>
      <c r="B169" s="135">
        <v>7</v>
      </c>
      <c r="C169" s="136">
        <v>5</v>
      </c>
      <c r="D169" s="135" t="s">
        <v>1952</v>
      </c>
      <c r="E169" s="135" t="s">
        <v>1953</v>
      </c>
      <c r="F169" s="135"/>
      <c r="G169" s="135">
        <v>20</v>
      </c>
      <c r="H169" s="137" t="s">
        <v>1954</v>
      </c>
      <c r="I169" s="135" t="s">
        <v>1364</v>
      </c>
      <c r="J169" s="137" t="s">
        <v>1340</v>
      </c>
      <c r="K169" s="135" t="s">
        <v>1464</v>
      </c>
      <c r="L169" s="135" t="s">
        <v>1342</v>
      </c>
      <c r="M169" s="135" t="s">
        <v>1955</v>
      </c>
      <c r="N169" s="135" t="s">
        <v>1344</v>
      </c>
      <c r="O169" s="135" t="s">
        <v>1345</v>
      </c>
      <c r="P169" s="135" t="s">
        <v>1346</v>
      </c>
      <c r="Q169" s="138">
        <v>4903</v>
      </c>
      <c r="R169" s="135">
        <v>5231</v>
      </c>
      <c r="S169" s="135" t="s">
        <v>1366</v>
      </c>
      <c r="T169" s="135" t="s">
        <v>1956</v>
      </c>
      <c r="U169" s="135">
        <v>2</v>
      </c>
      <c r="V169" s="135">
        <v>1310</v>
      </c>
      <c r="W169" s="135">
        <v>1330</v>
      </c>
      <c r="X169" s="135" t="s">
        <v>1400</v>
      </c>
      <c r="Y169" s="135" t="s">
        <v>1348</v>
      </c>
      <c r="Z169" s="134" t="s">
        <v>1350</v>
      </c>
      <c r="AA169" s="134"/>
    </row>
  </sheetData>
  <autoFilter ref="A1:AA169" xr:uid="{608B3AFA-396A-40D1-A034-6025036382FE}">
    <filterColumn colId="12">
      <filters>
        <filter val="CMX H06_Naulcalpan"/>
        <filter val="CMX H09_Izcalli"/>
        <filter val="CMX H30_Atizapan"/>
        <filter val="CMX H31_Satelit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363E-385A-4016-997D-C84233116B75}">
  <dimension ref="A1:AB69"/>
  <sheetViews>
    <sheetView topLeftCell="A22" workbookViewId="0">
      <selection activeCell="G33" sqref="G33"/>
    </sheetView>
  </sheetViews>
  <sheetFormatPr defaultColWidth="22.42578125" defaultRowHeight="12.75"/>
  <cols>
    <col min="1" max="1" width="12.140625" bestFit="1" customWidth="1"/>
    <col min="2" max="2" width="12" bestFit="1" customWidth="1"/>
    <col min="3" max="3" width="19" bestFit="1" customWidth="1"/>
    <col min="4" max="4" width="21.5703125" bestFit="1" customWidth="1"/>
    <col min="5" max="5" width="11.7109375" bestFit="1" customWidth="1"/>
    <col min="6" max="6" width="28.42578125" bestFit="1" customWidth="1"/>
    <col min="7" max="7" width="16" bestFit="1" customWidth="1"/>
    <col min="8" max="8" width="22.5703125" bestFit="1" customWidth="1"/>
    <col min="9" max="9" width="11" bestFit="1" customWidth="1"/>
    <col min="10" max="10" width="19.28515625" bestFit="1" customWidth="1"/>
    <col min="11" max="11" width="14.7109375" bestFit="1" customWidth="1"/>
    <col min="12" max="12" width="24.140625" bestFit="1" customWidth="1"/>
    <col min="13" max="13" width="31.28515625" bestFit="1" customWidth="1"/>
    <col min="14" max="14" width="12.7109375" customWidth="1"/>
    <col min="15" max="15" width="44.7109375" bestFit="1" customWidth="1"/>
    <col min="16" max="16" width="34" bestFit="1" customWidth="1"/>
    <col min="17" max="17" width="14.140625" customWidth="1"/>
    <col min="18" max="18" width="20.42578125" bestFit="1" customWidth="1"/>
    <col min="19" max="19" width="10.7109375" bestFit="1" customWidth="1"/>
    <col min="20" max="20" width="17.7109375" bestFit="1" customWidth="1"/>
    <col min="21" max="21" width="7.5703125" bestFit="1" customWidth="1"/>
    <col min="22" max="22" width="8.85546875" bestFit="1" customWidth="1"/>
    <col min="23" max="23" width="12.140625" customWidth="1"/>
    <col min="24" max="24" width="19.28515625" bestFit="1" customWidth="1"/>
    <col min="25" max="25" width="13.7109375" customWidth="1"/>
    <col min="26" max="26" width="20.5703125" bestFit="1" customWidth="1"/>
    <col min="27" max="27" width="14.42578125" bestFit="1" customWidth="1"/>
    <col min="28" max="28" width="8.7109375" bestFit="1" customWidth="1"/>
  </cols>
  <sheetData>
    <row r="1" spans="1:28" ht="24">
      <c r="A1" s="167" t="s">
        <v>1957</v>
      </c>
      <c r="B1" s="167" t="s">
        <v>1958</v>
      </c>
      <c r="C1" s="167" t="s">
        <v>1959</v>
      </c>
      <c r="D1" s="167" t="s">
        <v>1960</v>
      </c>
      <c r="E1" s="167" t="s">
        <v>1961</v>
      </c>
      <c r="F1" s="167" t="s">
        <v>1962</v>
      </c>
      <c r="G1" s="167" t="s">
        <v>1963</v>
      </c>
      <c r="H1" s="167" t="s">
        <v>1964</v>
      </c>
      <c r="I1" s="167" t="s">
        <v>1965</v>
      </c>
      <c r="J1" s="167" t="s">
        <v>1966</v>
      </c>
      <c r="K1" s="167" t="s">
        <v>1967</v>
      </c>
      <c r="L1" s="167" t="s">
        <v>1968</v>
      </c>
      <c r="M1" s="167" t="s">
        <v>1969</v>
      </c>
      <c r="N1" s="167" t="s">
        <v>1970</v>
      </c>
      <c r="O1" s="167" t="s">
        <v>1971</v>
      </c>
      <c r="P1" s="167" t="s">
        <v>1972</v>
      </c>
      <c r="Q1" s="167" t="s">
        <v>1973</v>
      </c>
      <c r="R1" s="167" t="s">
        <v>1974</v>
      </c>
      <c r="S1" s="167" t="s">
        <v>1322</v>
      </c>
      <c r="T1" s="167" t="s">
        <v>1975</v>
      </c>
      <c r="U1" s="167" t="s">
        <v>1976</v>
      </c>
      <c r="V1" s="167" t="s">
        <v>1977</v>
      </c>
      <c r="W1" s="167" t="s">
        <v>1978</v>
      </c>
      <c r="X1" s="167" t="s">
        <v>1979</v>
      </c>
      <c r="Y1" s="167" t="s">
        <v>1980</v>
      </c>
      <c r="Z1" s="167" t="s">
        <v>1981</v>
      </c>
      <c r="AA1" s="167" t="s">
        <v>1982</v>
      </c>
      <c r="AB1" s="167" t="s">
        <v>1983</v>
      </c>
    </row>
    <row r="2" spans="1:28" ht="15">
      <c r="A2" s="164" t="s">
        <v>31</v>
      </c>
      <c r="B2" s="163">
        <v>271875</v>
      </c>
      <c r="C2" s="164">
        <v>1365647</v>
      </c>
      <c r="D2" s="164" t="s">
        <v>1984</v>
      </c>
      <c r="E2" s="164" t="s">
        <v>1985</v>
      </c>
      <c r="F2" s="165" t="s">
        <v>1986</v>
      </c>
      <c r="G2" s="163" t="s">
        <v>1987</v>
      </c>
      <c r="H2" s="163" t="s">
        <v>1988</v>
      </c>
      <c r="I2" s="165">
        <v>93769</v>
      </c>
      <c r="J2" s="166">
        <v>1.5</v>
      </c>
      <c r="K2" s="164" t="s">
        <v>1989</v>
      </c>
      <c r="L2" s="164" t="s">
        <v>1990</v>
      </c>
      <c r="M2" s="164" t="s">
        <v>1991</v>
      </c>
      <c r="N2" s="164" t="s">
        <v>1992</v>
      </c>
      <c r="O2" s="164" t="s">
        <v>1993</v>
      </c>
      <c r="P2" s="164" t="s">
        <v>1993</v>
      </c>
      <c r="Q2" s="164">
        <v>174</v>
      </c>
      <c r="R2" s="164" t="s">
        <v>1994</v>
      </c>
      <c r="S2" s="164" t="s">
        <v>1344</v>
      </c>
      <c r="T2" s="164">
        <v>30</v>
      </c>
      <c r="U2" s="164">
        <v>2</v>
      </c>
      <c r="V2" s="164">
        <v>1</v>
      </c>
      <c r="W2" s="163">
        <v>30</v>
      </c>
      <c r="X2" s="164" t="s">
        <v>1995</v>
      </c>
      <c r="Y2" s="164" t="s">
        <v>80</v>
      </c>
      <c r="Z2" s="164" t="s">
        <v>1996</v>
      </c>
      <c r="AA2" s="165" t="s">
        <v>1997</v>
      </c>
      <c r="AB2" s="164" t="s">
        <v>80</v>
      </c>
    </row>
    <row r="3" spans="1:28" ht="15">
      <c r="A3" s="164" t="s">
        <v>31</v>
      </c>
      <c r="B3" s="163">
        <v>274274</v>
      </c>
      <c r="C3" s="164">
        <v>1365070</v>
      </c>
      <c r="D3" s="164" t="s">
        <v>1998</v>
      </c>
      <c r="E3" s="164" t="s">
        <v>30</v>
      </c>
      <c r="F3" s="165" t="s">
        <v>1999</v>
      </c>
      <c r="G3" s="163" t="s">
        <v>2000</v>
      </c>
      <c r="H3" s="163" t="s">
        <v>2001</v>
      </c>
      <c r="I3" s="165">
        <v>260247</v>
      </c>
      <c r="J3" s="166" t="s">
        <v>30</v>
      </c>
      <c r="K3" s="164" t="s">
        <v>30</v>
      </c>
      <c r="L3" s="164" t="s">
        <v>1990</v>
      </c>
      <c r="M3" s="164" t="s">
        <v>1991</v>
      </c>
      <c r="N3" s="164" t="s">
        <v>1992</v>
      </c>
      <c r="O3" s="164" t="s">
        <v>1993</v>
      </c>
      <c r="P3" s="164" t="s">
        <v>1993</v>
      </c>
      <c r="Q3" s="164">
        <v>174</v>
      </c>
      <c r="R3" s="164" t="s">
        <v>1994</v>
      </c>
      <c r="S3" s="164" t="s">
        <v>1344</v>
      </c>
      <c r="T3" s="164">
        <v>30</v>
      </c>
      <c r="U3" s="164">
        <v>2</v>
      </c>
      <c r="V3" s="164">
        <v>1</v>
      </c>
      <c r="W3" s="163" t="s">
        <v>2002</v>
      </c>
      <c r="X3" s="164" t="s">
        <v>1995</v>
      </c>
      <c r="Y3" s="164" t="s">
        <v>80</v>
      </c>
      <c r="Z3" s="164" t="s">
        <v>1996</v>
      </c>
      <c r="AA3" s="165" t="s">
        <v>2003</v>
      </c>
      <c r="AB3" s="164" t="s">
        <v>80</v>
      </c>
    </row>
    <row r="4" spans="1:28" s="177" customFormat="1" ht="15">
      <c r="A4" s="173"/>
      <c r="B4" s="172"/>
      <c r="C4" s="173"/>
      <c r="D4" s="173" t="s">
        <v>1998</v>
      </c>
      <c r="E4" s="173" t="s">
        <v>30</v>
      </c>
      <c r="F4" s="174">
        <v>30703104236876</v>
      </c>
      <c r="G4" s="172" t="s">
        <v>2000</v>
      </c>
      <c r="H4" s="172" t="s">
        <v>2004</v>
      </c>
      <c r="I4" s="175"/>
      <c r="J4" s="176" t="s">
        <v>30</v>
      </c>
      <c r="K4" s="173" t="s">
        <v>30</v>
      </c>
      <c r="L4" s="173" t="s">
        <v>1990</v>
      </c>
      <c r="M4" s="173" t="s">
        <v>1991</v>
      </c>
      <c r="N4" s="173" t="s">
        <v>1992</v>
      </c>
      <c r="O4" s="173" t="s">
        <v>1993</v>
      </c>
      <c r="P4" s="173" t="s">
        <v>1993</v>
      </c>
      <c r="Q4" s="173">
        <v>174</v>
      </c>
      <c r="R4" s="173" t="s">
        <v>1994</v>
      </c>
      <c r="S4" s="173" t="s">
        <v>1344</v>
      </c>
      <c r="T4" s="173">
        <v>30</v>
      </c>
      <c r="U4" s="173">
        <v>2</v>
      </c>
      <c r="V4" s="173">
        <v>1</v>
      </c>
      <c r="W4" s="172" t="s">
        <v>2005</v>
      </c>
      <c r="X4" s="173" t="s">
        <v>1995</v>
      </c>
      <c r="Y4" s="173" t="s">
        <v>80</v>
      </c>
      <c r="Z4" s="173" t="s">
        <v>1996</v>
      </c>
      <c r="AA4" s="175"/>
      <c r="AB4" s="173" t="s">
        <v>80</v>
      </c>
    </row>
    <row r="5" spans="1:28" s="177" customFormat="1" ht="15">
      <c r="A5" s="173"/>
      <c r="B5" s="172"/>
      <c r="C5" s="173"/>
      <c r="D5" s="173" t="s">
        <v>1998</v>
      </c>
      <c r="E5" s="173" t="s">
        <v>30</v>
      </c>
      <c r="F5" s="174" t="s">
        <v>2006</v>
      </c>
      <c r="G5" s="172" t="s">
        <v>2007</v>
      </c>
      <c r="H5" s="172" t="s">
        <v>2008</v>
      </c>
      <c r="I5" s="175"/>
      <c r="J5" s="176" t="s">
        <v>30</v>
      </c>
      <c r="K5" s="173" t="s">
        <v>30</v>
      </c>
      <c r="L5" s="173" t="s">
        <v>1990</v>
      </c>
      <c r="M5" s="173" t="s">
        <v>1991</v>
      </c>
      <c r="N5" s="173" t="s">
        <v>1992</v>
      </c>
      <c r="O5" s="173" t="s">
        <v>1993</v>
      </c>
      <c r="P5" s="173" t="s">
        <v>1993</v>
      </c>
      <c r="Q5" s="173">
        <v>174</v>
      </c>
      <c r="R5" s="173" t="s">
        <v>1994</v>
      </c>
      <c r="S5" s="173" t="s">
        <v>1344</v>
      </c>
      <c r="T5" s="173">
        <v>30</v>
      </c>
      <c r="U5" s="173">
        <v>2</v>
      </c>
      <c r="V5" s="173">
        <v>1</v>
      </c>
      <c r="W5" s="172" t="s">
        <v>2009</v>
      </c>
      <c r="X5" s="173" t="s">
        <v>1995</v>
      </c>
      <c r="Y5" s="173" t="s">
        <v>80</v>
      </c>
      <c r="Z5" s="173" t="s">
        <v>1996</v>
      </c>
      <c r="AA5" s="175"/>
      <c r="AB5" s="173" t="s">
        <v>80</v>
      </c>
    </row>
    <row r="6" spans="1:28" ht="15">
      <c r="A6" s="164" t="s">
        <v>31</v>
      </c>
      <c r="B6" s="163">
        <v>273164</v>
      </c>
      <c r="C6" s="164">
        <v>1365070</v>
      </c>
      <c r="D6" s="164" t="s">
        <v>1998</v>
      </c>
      <c r="E6" s="164" t="s">
        <v>30</v>
      </c>
      <c r="F6" s="171" t="s">
        <v>2010</v>
      </c>
      <c r="G6" s="163" t="s">
        <v>2000</v>
      </c>
      <c r="H6" s="163" t="s">
        <v>2001</v>
      </c>
      <c r="I6" s="165">
        <v>260247</v>
      </c>
      <c r="J6" s="166" t="s">
        <v>30</v>
      </c>
      <c r="K6" s="164" t="s">
        <v>30</v>
      </c>
      <c r="L6" s="164" t="s">
        <v>1990</v>
      </c>
      <c r="M6" s="164" t="s">
        <v>1991</v>
      </c>
      <c r="N6" s="164" t="s">
        <v>1992</v>
      </c>
      <c r="O6" s="164" t="s">
        <v>1993</v>
      </c>
      <c r="P6" s="164" t="s">
        <v>1993</v>
      </c>
      <c r="Q6" s="164">
        <v>174</v>
      </c>
      <c r="R6" s="164" t="s">
        <v>1994</v>
      </c>
      <c r="S6" s="164" t="s">
        <v>1344</v>
      </c>
      <c r="T6" s="164">
        <v>30</v>
      </c>
      <c r="U6" s="164">
        <v>2</v>
      </c>
      <c r="V6" s="164">
        <v>1</v>
      </c>
      <c r="W6" s="163" t="s">
        <v>2011</v>
      </c>
      <c r="X6" s="164" t="s">
        <v>1995</v>
      </c>
      <c r="Y6" s="164" t="s">
        <v>80</v>
      </c>
      <c r="Z6" s="164" t="s">
        <v>1996</v>
      </c>
      <c r="AA6" s="165" t="s">
        <v>2003</v>
      </c>
      <c r="AB6" s="164" t="s">
        <v>80</v>
      </c>
    </row>
    <row r="7" spans="1:28" ht="15">
      <c r="A7" s="164" t="s">
        <v>31</v>
      </c>
      <c r="B7" s="163">
        <v>270232</v>
      </c>
      <c r="C7" s="164">
        <v>1365070</v>
      </c>
      <c r="D7" s="164" t="s">
        <v>1998</v>
      </c>
      <c r="E7" s="164" t="s">
        <v>30</v>
      </c>
      <c r="F7" s="171" t="s">
        <v>2012</v>
      </c>
      <c r="G7" s="163" t="s">
        <v>2000</v>
      </c>
      <c r="H7" s="163" t="s">
        <v>2001</v>
      </c>
      <c r="I7" s="165">
        <v>260247</v>
      </c>
      <c r="J7" s="166" t="s">
        <v>30</v>
      </c>
      <c r="K7" s="164" t="s">
        <v>30</v>
      </c>
      <c r="L7" s="164" t="s">
        <v>1990</v>
      </c>
      <c r="M7" s="164" t="s">
        <v>1991</v>
      </c>
      <c r="N7" s="164" t="s">
        <v>1992</v>
      </c>
      <c r="O7" s="164" t="s">
        <v>1993</v>
      </c>
      <c r="P7" s="164" t="s">
        <v>1993</v>
      </c>
      <c r="Q7" s="164">
        <v>174</v>
      </c>
      <c r="R7" s="164" t="s">
        <v>1994</v>
      </c>
      <c r="S7" s="164" t="s">
        <v>1344</v>
      </c>
      <c r="T7" s="164">
        <v>30</v>
      </c>
      <c r="U7" s="164">
        <v>2</v>
      </c>
      <c r="V7" s="164">
        <v>1</v>
      </c>
      <c r="W7" s="163" t="s">
        <v>2013</v>
      </c>
      <c r="X7" s="164" t="s">
        <v>1995</v>
      </c>
      <c r="Y7" s="164" t="s">
        <v>80</v>
      </c>
      <c r="Z7" s="164" t="s">
        <v>1996</v>
      </c>
      <c r="AA7" s="165" t="s">
        <v>2003</v>
      </c>
      <c r="AB7" s="164" t="s">
        <v>80</v>
      </c>
    </row>
    <row r="8" spans="1:28" s="177" customFormat="1" ht="15">
      <c r="A8" s="173"/>
      <c r="B8" s="172"/>
      <c r="C8" s="173"/>
      <c r="D8" s="173" t="s">
        <v>1998</v>
      </c>
      <c r="E8" s="173" t="s">
        <v>30</v>
      </c>
      <c r="F8" s="174" t="s">
        <v>2014</v>
      </c>
      <c r="G8" s="172" t="s">
        <v>2000</v>
      </c>
      <c r="H8" s="172" t="s">
        <v>2015</v>
      </c>
      <c r="I8" s="175"/>
      <c r="J8" s="176" t="s">
        <v>30</v>
      </c>
      <c r="K8" s="173" t="s">
        <v>30</v>
      </c>
      <c r="L8" s="173" t="s">
        <v>1990</v>
      </c>
      <c r="M8" s="173" t="s">
        <v>1991</v>
      </c>
      <c r="N8" s="173" t="s">
        <v>1992</v>
      </c>
      <c r="O8" s="173" t="s">
        <v>1993</v>
      </c>
      <c r="P8" s="173" t="s">
        <v>1993</v>
      </c>
      <c r="Q8" s="173">
        <v>174</v>
      </c>
      <c r="R8" s="173" t="s">
        <v>1994</v>
      </c>
      <c r="S8" s="173" t="s">
        <v>1344</v>
      </c>
      <c r="T8" s="173">
        <v>30</v>
      </c>
      <c r="U8" s="173">
        <v>2</v>
      </c>
      <c r="V8" s="173">
        <v>1</v>
      </c>
      <c r="W8" s="172" t="s">
        <v>2016</v>
      </c>
      <c r="X8" s="173" t="s">
        <v>1995</v>
      </c>
      <c r="Y8" s="173" t="s">
        <v>80</v>
      </c>
      <c r="Z8" s="173" t="s">
        <v>1996</v>
      </c>
      <c r="AA8" s="175"/>
      <c r="AB8" s="173" t="s">
        <v>80</v>
      </c>
    </row>
    <row r="9" spans="1:28" s="177" customFormat="1" ht="15">
      <c r="A9" s="173"/>
      <c r="B9" s="172"/>
      <c r="C9" s="173"/>
      <c r="D9" s="173" t="s">
        <v>1998</v>
      </c>
      <c r="E9" s="173" t="s">
        <v>30</v>
      </c>
      <c r="F9" s="174" t="s">
        <v>2017</v>
      </c>
      <c r="G9" s="172" t="s">
        <v>2000</v>
      </c>
      <c r="H9" s="172" t="s">
        <v>2018</v>
      </c>
      <c r="I9" s="175"/>
      <c r="J9" s="176" t="s">
        <v>30</v>
      </c>
      <c r="K9" s="173" t="s">
        <v>30</v>
      </c>
      <c r="L9" s="173" t="s">
        <v>1990</v>
      </c>
      <c r="M9" s="173" t="s">
        <v>1991</v>
      </c>
      <c r="N9" s="173" t="s">
        <v>1992</v>
      </c>
      <c r="O9" s="173" t="s">
        <v>1993</v>
      </c>
      <c r="P9" s="173" t="s">
        <v>1993</v>
      </c>
      <c r="Q9" s="173">
        <v>174</v>
      </c>
      <c r="R9" s="173" t="s">
        <v>1994</v>
      </c>
      <c r="S9" s="173" t="s">
        <v>1344</v>
      </c>
      <c r="T9" s="173">
        <v>30</v>
      </c>
      <c r="U9" s="173">
        <v>2</v>
      </c>
      <c r="V9" s="173">
        <v>1</v>
      </c>
      <c r="W9" s="172" t="s">
        <v>2019</v>
      </c>
      <c r="X9" s="173" t="s">
        <v>1995</v>
      </c>
      <c r="Y9" s="173" t="s">
        <v>80</v>
      </c>
      <c r="Z9" s="173" t="s">
        <v>1996</v>
      </c>
      <c r="AA9" s="175"/>
      <c r="AB9" s="173" t="s">
        <v>80</v>
      </c>
    </row>
    <row r="10" spans="1:28" ht="15">
      <c r="A10" s="164" t="s">
        <v>31</v>
      </c>
      <c r="B10" s="163">
        <v>274396</v>
      </c>
      <c r="C10" s="164">
        <v>1365070</v>
      </c>
      <c r="D10" s="164" t="s">
        <v>1998</v>
      </c>
      <c r="E10" s="164" t="s">
        <v>30</v>
      </c>
      <c r="F10" s="171" t="s">
        <v>2020</v>
      </c>
      <c r="G10" s="163" t="s">
        <v>2000</v>
      </c>
      <c r="H10" s="163" t="s">
        <v>2015</v>
      </c>
      <c r="I10" s="165">
        <v>94366</v>
      </c>
      <c r="J10" s="166" t="s">
        <v>30</v>
      </c>
      <c r="K10" s="164" t="s">
        <v>30</v>
      </c>
      <c r="L10" s="164" t="s">
        <v>1990</v>
      </c>
      <c r="M10" s="164" t="s">
        <v>1991</v>
      </c>
      <c r="N10" s="164" t="s">
        <v>1992</v>
      </c>
      <c r="O10" s="164" t="s">
        <v>1993</v>
      </c>
      <c r="P10" s="164" t="s">
        <v>1993</v>
      </c>
      <c r="Q10" s="164">
        <v>174</v>
      </c>
      <c r="R10" s="164" t="s">
        <v>1994</v>
      </c>
      <c r="S10" s="164" t="s">
        <v>1344</v>
      </c>
      <c r="T10" s="164">
        <v>30</v>
      </c>
      <c r="U10" s="164">
        <v>2</v>
      </c>
      <c r="V10" s="164">
        <v>1</v>
      </c>
      <c r="W10" s="163" t="s">
        <v>2021</v>
      </c>
      <c r="X10" s="164" t="s">
        <v>1995</v>
      </c>
      <c r="Y10" s="164" t="s">
        <v>80</v>
      </c>
      <c r="Z10" s="164" t="s">
        <v>1996</v>
      </c>
      <c r="AA10" s="165" t="s">
        <v>2022</v>
      </c>
      <c r="AB10" s="164" t="s">
        <v>80</v>
      </c>
    </row>
    <row r="11" spans="1:28" ht="15">
      <c r="A11" s="164" t="s">
        <v>31</v>
      </c>
      <c r="B11" s="163">
        <v>270362</v>
      </c>
      <c r="C11" s="164">
        <v>1365071</v>
      </c>
      <c r="D11" s="164" t="s">
        <v>2023</v>
      </c>
      <c r="E11" s="164" t="s">
        <v>1985</v>
      </c>
      <c r="F11" s="165" t="s">
        <v>2024</v>
      </c>
      <c r="G11" s="163" t="s">
        <v>2000</v>
      </c>
      <c r="H11" s="163" t="s">
        <v>2025</v>
      </c>
      <c r="I11" s="165">
        <v>260144</v>
      </c>
      <c r="J11" s="166">
        <v>1.5</v>
      </c>
      <c r="K11" s="164" t="s">
        <v>1989</v>
      </c>
      <c r="L11" s="164" t="s">
        <v>2026</v>
      </c>
      <c r="M11" s="164" t="s">
        <v>2027</v>
      </c>
      <c r="N11" s="164" t="s">
        <v>2028</v>
      </c>
      <c r="O11" s="164" t="s">
        <v>2029</v>
      </c>
      <c r="P11" s="164" t="s">
        <v>2029</v>
      </c>
      <c r="Q11" s="164">
        <v>174</v>
      </c>
      <c r="R11" s="164" t="s">
        <v>1994</v>
      </c>
      <c r="S11" s="164" t="s">
        <v>1344</v>
      </c>
      <c r="T11" s="164">
        <v>28</v>
      </c>
      <c r="U11" s="164">
        <v>2</v>
      </c>
      <c r="V11" s="164">
        <v>1</v>
      </c>
      <c r="W11" s="163">
        <v>28</v>
      </c>
      <c r="X11" s="164" t="s">
        <v>1995</v>
      </c>
      <c r="Y11" s="164" t="s">
        <v>80</v>
      </c>
      <c r="Z11" s="164" t="s">
        <v>1996</v>
      </c>
      <c r="AA11" s="168" t="s">
        <v>2030</v>
      </c>
      <c r="AB11" s="164" t="s">
        <v>80</v>
      </c>
    </row>
    <row r="12" spans="1:28" ht="15">
      <c r="A12" s="164" t="s">
        <v>31</v>
      </c>
      <c r="B12" s="163">
        <v>273223</v>
      </c>
      <c r="C12" s="164">
        <v>1365072</v>
      </c>
      <c r="D12" s="164" t="s">
        <v>1998</v>
      </c>
      <c r="E12" s="164" t="s">
        <v>30</v>
      </c>
      <c r="F12" s="165" t="s">
        <v>2031</v>
      </c>
      <c r="G12" s="163" t="s">
        <v>2007</v>
      </c>
      <c r="H12" s="163" t="s">
        <v>2032</v>
      </c>
      <c r="I12" s="165">
        <v>50230</v>
      </c>
      <c r="J12" s="166" t="s">
        <v>30</v>
      </c>
      <c r="K12" s="164" t="s">
        <v>30</v>
      </c>
      <c r="L12" s="164" t="s">
        <v>2026</v>
      </c>
      <c r="M12" s="164" t="s">
        <v>2027</v>
      </c>
      <c r="N12" s="164" t="s">
        <v>2028</v>
      </c>
      <c r="O12" s="164" t="s">
        <v>2029</v>
      </c>
      <c r="P12" s="164" t="s">
        <v>2029</v>
      </c>
      <c r="Q12" s="164">
        <v>174</v>
      </c>
      <c r="R12" s="164" t="s">
        <v>1994</v>
      </c>
      <c r="S12" s="164" t="s">
        <v>1344</v>
      </c>
      <c r="T12" s="164">
        <v>28</v>
      </c>
      <c r="U12" s="164">
        <v>2</v>
      </c>
      <c r="V12" s="164">
        <v>1</v>
      </c>
      <c r="W12" s="163">
        <v>2</v>
      </c>
      <c r="X12" s="164" t="s">
        <v>1995</v>
      </c>
      <c r="Y12" s="164" t="s">
        <v>80</v>
      </c>
      <c r="Z12" s="164" t="s">
        <v>1996</v>
      </c>
      <c r="AA12" s="169" t="s">
        <v>2033</v>
      </c>
      <c r="AB12" s="164" t="s">
        <v>80</v>
      </c>
    </row>
    <row r="13" spans="1:28" ht="15">
      <c r="A13" s="164" t="s">
        <v>31</v>
      </c>
      <c r="B13" s="163">
        <v>273287</v>
      </c>
      <c r="C13" s="164">
        <v>1365072</v>
      </c>
      <c r="D13" s="164" t="s">
        <v>1998</v>
      </c>
      <c r="E13" s="164" t="s">
        <v>30</v>
      </c>
      <c r="F13" s="165" t="s">
        <v>2034</v>
      </c>
      <c r="G13" s="163" t="s">
        <v>2007</v>
      </c>
      <c r="H13" s="163" t="s">
        <v>2035</v>
      </c>
      <c r="I13" s="165">
        <v>50230</v>
      </c>
      <c r="J13" s="166" t="s">
        <v>30</v>
      </c>
      <c r="K13" s="164" t="s">
        <v>30</v>
      </c>
      <c r="L13" s="164" t="s">
        <v>2026</v>
      </c>
      <c r="M13" s="164" t="s">
        <v>2027</v>
      </c>
      <c r="N13" s="164" t="s">
        <v>2028</v>
      </c>
      <c r="O13" s="164" t="s">
        <v>2029</v>
      </c>
      <c r="P13" s="164" t="s">
        <v>2029</v>
      </c>
      <c r="Q13" s="164">
        <v>174</v>
      </c>
      <c r="R13" s="164" t="s">
        <v>1994</v>
      </c>
      <c r="S13" s="164" t="s">
        <v>1344</v>
      </c>
      <c r="T13" s="164">
        <v>28</v>
      </c>
      <c r="U13" s="164">
        <v>2</v>
      </c>
      <c r="V13" s="164">
        <v>1</v>
      </c>
      <c r="W13" s="163">
        <v>3</v>
      </c>
      <c r="X13" s="164" t="s">
        <v>1995</v>
      </c>
      <c r="Y13" s="164" t="s">
        <v>80</v>
      </c>
      <c r="Z13" s="164" t="s">
        <v>1996</v>
      </c>
      <c r="AA13" s="169" t="s">
        <v>2033</v>
      </c>
      <c r="AB13" s="164" t="s">
        <v>80</v>
      </c>
    </row>
    <row r="14" spans="1:28" ht="15">
      <c r="A14" s="164" t="s">
        <v>31</v>
      </c>
      <c r="B14" s="163">
        <v>272787</v>
      </c>
      <c r="C14" s="164">
        <v>1365072</v>
      </c>
      <c r="D14" s="164" t="s">
        <v>1998</v>
      </c>
      <c r="E14" s="164" t="s">
        <v>30</v>
      </c>
      <c r="F14" s="165" t="s">
        <v>2036</v>
      </c>
      <c r="G14" s="163" t="s">
        <v>2037</v>
      </c>
      <c r="H14" s="163" t="s">
        <v>2038</v>
      </c>
      <c r="I14" s="165">
        <v>260253</v>
      </c>
      <c r="J14" s="166" t="s">
        <v>30</v>
      </c>
      <c r="K14" s="164" t="s">
        <v>30</v>
      </c>
      <c r="L14" s="164" t="s">
        <v>2026</v>
      </c>
      <c r="M14" s="164" t="s">
        <v>2027</v>
      </c>
      <c r="N14" s="164" t="s">
        <v>2028</v>
      </c>
      <c r="O14" s="164" t="s">
        <v>2029</v>
      </c>
      <c r="P14" s="164" t="s">
        <v>2029</v>
      </c>
      <c r="Q14" s="164">
        <v>174</v>
      </c>
      <c r="R14" s="164" t="s">
        <v>1994</v>
      </c>
      <c r="S14" s="164" t="s">
        <v>1344</v>
      </c>
      <c r="T14" s="164">
        <v>28</v>
      </c>
      <c r="U14" s="164">
        <v>2</v>
      </c>
      <c r="V14" s="164">
        <v>1</v>
      </c>
      <c r="W14" s="163">
        <v>4</v>
      </c>
      <c r="X14" s="164" t="s">
        <v>1995</v>
      </c>
      <c r="Y14" s="164" t="s">
        <v>80</v>
      </c>
      <c r="Z14" s="164" t="s">
        <v>1996</v>
      </c>
      <c r="AA14" s="169" t="s">
        <v>2039</v>
      </c>
      <c r="AB14" s="164" t="s">
        <v>80</v>
      </c>
    </row>
    <row r="15" spans="1:28" s="177" customFormat="1" ht="15">
      <c r="A15" s="173"/>
      <c r="B15" s="172"/>
      <c r="C15" s="173"/>
      <c r="D15" s="173" t="s">
        <v>1998</v>
      </c>
      <c r="E15" s="173" t="s">
        <v>30</v>
      </c>
      <c r="F15" s="178" t="s">
        <v>2040</v>
      </c>
      <c r="G15" s="172" t="s">
        <v>2000</v>
      </c>
      <c r="H15" s="172" t="s">
        <v>2001</v>
      </c>
      <c r="I15" s="175"/>
      <c r="J15" s="176" t="s">
        <v>30</v>
      </c>
      <c r="K15" s="173" t="s">
        <v>30</v>
      </c>
      <c r="L15" s="173" t="s">
        <v>2026</v>
      </c>
      <c r="M15" s="173" t="s">
        <v>2027</v>
      </c>
      <c r="N15" s="173" t="s">
        <v>2028</v>
      </c>
      <c r="O15" s="173" t="s">
        <v>2029</v>
      </c>
      <c r="P15" s="173" t="s">
        <v>2029</v>
      </c>
      <c r="Q15" s="173">
        <v>174</v>
      </c>
      <c r="R15" s="173" t="s">
        <v>1994</v>
      </c>
      <c r="S15" s="173" t="s">
        <v>1344</v>
      </c>
      <c r="T15" s="173">
        <v>28</v>
      </c>
      <c r="U15" s="173">
        <v>2</v>
      </c>
      <c r="V15" s="173">
        <v>1</v>
      </c>
      <c r="W15" s="172">
        <v>5</v>
      </c>
      <c r="X15" s="173" t="s">
        <v>1995</v>
      </c>
      <c r="Y15" s="173" t="s">
        <v>80</v>
      </c>
      <c r="Z15" s="173" t="s">
        <v>1996</v>
      </c>
      <c r="AA15" s="179"/>
      <c r="AB15" s="173" t="s">
        <v>80</v>
      </c>
    </row>
    <row r="16" spans="1:28" ht="15">
      <c r="A16" s="164" t="s">
        <v>31</v>
      </c>
      <c r="B16" s="163">
        <v>274350</v>
      </c>
      <c r="C16" s="164">
        <v>1365072</v>
      </c>
      <c r="D16" s="164" t="s">
        <v>1998</v>
      </c>
      <c r="E16" s="164" t="s">
        <v>30</v>
      </c>
      <c r="F16" s="165" t="s">
        <v>2041</v>
      </c>
      <c r="G16" s="163" t="s">
        <v>2000</v>
      </c>
      <c r="H16" s="163" t="s">
        <v>2042</v>
      </c>
      <c r="I16" s="165">
        <v>260248</v>
      </c>
      <c r="J16" s="166" t="s">
        <v>30</v>
      </c>
      <c r="K16" s="164" t="s">
        <v>30</v>
      </c>
      <c r="L16" s="164" t="s">
        <v>2026</v>
      </c>
      <c r="M16" s="164" t="s">
        <v>2027</v>
      </c>
      <c r="N16" s="164" t="s">
        <v>2028</v>
      </c>
      <c r="O16" s="164" t="s">
        <v>2029</v>
      </c>
      <c r="P16" s="164" t="s">
        <v>2029</v>
      </c>
      <c r="Q16" s="164">
        <v>174</v>
      </c>
      <c r="R16" s="164" t="s">
        <v>1994</v>
      </c>
      <c r="S16" s="164" t="s">
        <v>1344</v>
      </c>
      <c r="T16" s="164">
        <v>28</v>
      </c>
      <c r="U16" s="164">
        <v>2</v>
      </c>
      <c r="V16" s="164">
        <v>1</v>
      </c>
      <c r="W16" s="163">
        <v>6</v>
      </c>
      <c r="X16" s="164" t="s">
        <v>1995</v>
      </c>
      <c r="Y16" s="164" t="s">
        <v>80</v>
      </c>
      <c r="Z16" s="164" t="s">
        <v>1996</v>
      </c>
      <c r="AA16" s="169" t="s">
        <v>2043</v>
      </c>
      <c r="AB16" s="164" t="s">
        <v>80</v>
      </c>
    </row>
    <row r="17" spans="1:28" s="177" customFormat="1" ht="15">
      <c r="A17" s="173"/>
      <c r="B17" s="172"/>
      <c r="C17" s="173"/>
      <c r="D17" s="173" t="s">
        <v>1998</v>
      </c>
      <c r="E17" s="173" t="s">
        <v>30</v>
      </c>
      <c r="F17" s="178" t="s">
        <v>2044</v>
      </c>
      <c r="G17" s="172" t="s">
        <v>2000</v>
      </c>
      <c r="H17" s="172" t="s">
        <v>2001</v>
      </c>
      <c r="I17" s="175"/>
      <c r="J17" s="176" t="s">
        <v>30</v>
      </c>
      <c r="K17" s="173" t="s">
        <v>30</v>
      </c>
      <c r="L17" s="173" t="s">
        <v>2026</v>
      </c>
      <c r="M17" s="173" t="s">
        <v>2027</v>
      </c>
      <c r="N17" s="173" t="s">
        <v>2028</v>
      </c>
      <c r="O17" s="173" t="s">
        <v>2029</v>
      </c>
      <c r="P17" s="173" t="s">
        <v>2029</v>
      </c>
      <c r="Q17" s="173">
        <v>174</v>
      </c>
      <c r="R17" s="173" t="s">
        <v>1994</v>
      </c>
      <c r="S17" s="173" t="s">
        <v>1344</v>
      </c>
      <c r="T17" s="173">
        <v>28</v>
      </c>
      <c r="U17" s="173">
        <v>2</v>
      </c>
      <c r="V17" s="173">
        <v>1</v>
      </c>
      <c r="W17" s="172">
        <v>9</v>
      </c>
      <c r="X17" s="173" t="s">
        <v>1995</v>
      </c>
      <c r="Y17" s="173" t="s">
        <v>80</v>
      </c>
      <c r="Z17" s="173" t="s">
        <v>1996</v>
      </c>
      <c r="AA17" s="179"/>
      <c r="AB17" s="173" t="s">
        <v>80</v>
      </c>
    </row>
    <row r="18" spans="1:28" s="177" customFormat="1" ht="15">
      <c r="A18" s="173"/>
      <c r="B18" s="172"/>
      <c r="C18" s="173"/>
      <c r="D18" s="173" t="s">
        <v>1998</v>
      </c>
      <c r="E18" s="173" t="s">
        <v>30</v>
      </c>
      <c r="F18" s="178" t="s">
        <v>2045</v>
      </c>
      <c r="G18" s="172" t="s">
        <v>2000</v>
      </c>
      <c r="H18" s="172" t="s">
        <v>2001</v>
      </c>
      <c r="I18" s="175"/>
      <c r="J18" s="176" t="s">
        <v>30</v>
      </c>
      <c r="K18" s="173" t="s">
        <v>30</v>
      </c>
      <c r="L18" s="173" t="s">
        <v>2026</v>
      </c>
      <c r="M18" s="173" t="s">
        <v>2027</v>
      </c>
      <c r="N18" s="173" t="s">
        <v>2028</v>
      </c>
      <c r="O18" s="173" t="s">
        <v>2029</v>
      </c>
      <c r="P18" s="173" t="s">
        <v>2029</v>
      </c>
      <c r="Q18" s="173">
        <v>174</v>
      </c>
      <c r="R18" s="173" t="s">
        <v>1994</v>
      </c>
      <c r="S18" s="173" t="s">
        <v>1344</v>
      </c>
      <c r="T18" s="173">
        <v>28</v>
      </c>
      <c r="U18" s="173">
        <v>2</v>
      </c>
      <c r="V18" s="173">
        <v>1</v>
      </c>
      <c r="W18" s="172">
        <v>10</v>
      </c>
      <c r="X18" s="173" t="s">
        <v>1995</v>
      </c>
      <c r="Y18" s="173" t="s">
        <v>80</v>
      </c>
      <c r="Z18" s="173" t="s">
        <v>1996</v>
      </c>
      <c r="AA18" s="179"/>
      <c r="AB18" s="173" t="s">
        <v>80</v>
      </c>
    </row>
    <row r="19" spans="1:28" ht="15">
      <c r="A19" s="164" t="s">
        <v>31</v>
      </c>
      <c r="B19" s="163">
        <v>272236</v>
      </c>
      <c r="C19" s="164">
        <v>1365072</v>
      </c>
      <c r="D19" s="164" t="s">
        <v>1998</v>
      </c>
      <c r="E19" s="164" t="s">
        <v>30</v>
      </c>
      <c r="F19" s="170" t="s">
        <v>2046</v>
      </c>
      <c r="G19" s="163" t="s">
        <v>2037</v>
      </c>
      <c r="H19" s="163" t="s">
        <v>2047</v>
      </c>
      <c r="I19" s="165">
        <v>260251</v>
      </c>
      <c r="J19" s="166" t="s">
        <v>30</v>
      </c>
      <c r="K19" s="164" t="s">
        <v>30</v>
      </c>
      <c r="L19" s="164" t="s">
        <v>2026</v>
      </c>
      <c r="M19" s="164" t="s">
        <v>2027</v>
      </c>
      <c r="N19" s="164" t="s">
        <v>2028</v>
      </c>
      <c r="O19" s="164" t="s">
        <v>2029</v>
      </c>
      <c r="P19" s="164" t="s">
        <v>2029</v>
      </c>
      <c r="Q19" s="164">
        <v>174</v>
      </c>
      <c r="R19" s="164" t="s">
        <v>1994</v>
      </c>
      <c r="S19" s="164" t="s">
        <v>1344</v>
      </c>
      <c r="T19" s="164">
        <v>28</v>
      </c>
      <c r="U19" s="164">
        <v>2</v>
      </c>
      <c r="V19" s="164">
        <v>1</v>
      </c>
      <c r="W19" s="163">
        <v>11</v>
      </c>
      <c r="X19" s="164" t="s">
        <v>1995</v>
      </c>
      <c r="Y19" s="164" t="s">
        <v>80</v>
      </c>
      <c r="Z19" s="164" t="s">
        <v>1996</v>
      </c>
      <c r="AA19" s="169" t="s">
        <v>2039</v>
      </c>
      <c r="AB19" s="164" t="s">
        <v>80</v>
      </c>
    </row>
    <row r="20" spans="1:28" ht="15">
      <c r="A20" s="164" t="s">
        <v>31</v>
      </c>
      <c r="B20" s="163">
        <v>272313</v>
      </c>
      <c r="C20" s="164">
        <v>1365072</v>
      </c>
      <c r="D20" s="164" t="s">
        <v>1998</v>
      </c>
      <c r="E20" s="164" t="s">
        <v>30</v>
      </c>
      <c r="F20" s="170" t="s">
        <v>2048</v>
      </c>
      <c r="G20" s="163" t="s">
        <v>2037</v>
      </c>
      <c r="H20" s="163" t="s">
        <v>2047</v>
      </c>
      <c r="I20" s="165">
        <v>260251</v>
      </c>
      <c r="J20" s="166" t="s">
        <v>30</v>
      </c>
      <c r="K20" s="164" t="s">
        <v>30</v>
      </c>
      <c r="L20" s="164" t="s">
        <v>2026</v>
      </c>
      <c r="M20" s="164" t="s">
        <v>2027</v>
      </c>
      <c r="N20" s="164" t="s">
        <v>2028</v>
      </c>
      <c r="O20" s="164" t="s">
        <v>2029</v>
      </c>
      <c r="P20" s="164" t="s">
        <v>2029</v>
      </c>
      <c r="Q20" s="164">
        <v>174</v>
      </c>
      <c r="R20" s="164" t="s">
        <v>1994</v>
      </c>
      <c r="S20" s="164" t="s">
        <v>1344</v>
      </c>
      <c r="T20" s="164">
        <v>28</v>
      </c>
      <c r="U20" s="164">
        <v>2</v>
      </c>
      <c r="V20" s="164">
        <v>1</v>
      </c>
      <c r="W20" s="163">
        <v>12</v>
      </c>
      <c r="X20" s="164" t="s">
        <v>1995</v>
      </c>
      <c r="Y20" s="164" t="s">
        <v>80</v>
      </c>
      <c r="Z20" s="164" t="s">
        <v>1996</v>
      </c>
      <c r="AA20" s="169" t="s">
        <v>2039</v>
      </c>
      <c r="AB20" s="164" t="s">
        <v>80</v>
      </c>
    </row>
    <row r="21" spans="1:28" ht="15">
      <c r="A21" s="164" t="s">
        <v>31</v>
      </c>
      <c r="B21" s="163">
        <v>272403</v>
      </c>
      <c r="C21" s="164">
        <v>1365072</v>
      </c>
      <c r="D21" s="164" t="s">
        <v>1998</v>
      </c>
      <c r="E21" s="164" t="s">
        <v>30</v>
      </c>
      <c r="F21" s="170" t="s">
        <v>2049</v>
      </c>
      <c r="G21" s="163" t="s">
        <v>2037</v>
      </c>
      <c r="H21" s="163" t="s">
        <v>2050</v>
      </c>
      <c r="I21" s="165">
        <v>260255</v>
      </c>
      <c r="J21" s="166" t="s">
        <v>30</v>
      </c>
      <c r="K21" s="164" t="s">
        <v>30</v>
      </c>
      <c r="L21" s="164" t="s">
        <v>2026</v>
      </c>
      <c r="M21" s="164" t="s">
        <v>2027</v>
      </c>
      <c r="N21" s="164" t="s">
        <v>2028</v>
      </c>
      <c r="O21" s="164" t="s">
        <v>2029</v>
      </c>
      <c r="P21" s="164" t="s">
        <v>2029</v>
      </c>
      <c r="Q21" s="164">
        <v>174</v>
      </c>
      <c r="R21" s="164" t="s">
        <v>1994</v>
      </c>
      <c r="S21" s="164" t="s">
        <v>1344</v>
      </c>
      <c r="T21" s="164">
        <v>28</v>
      </c>
      <c r="U21" s="164">
        <v>2</v>
      </c>
      <c r="V21" s="164">
        <v>1</v>
      </c>
      <c r="W21" s="163">
        <v>13</v>
      </c>
      <c r="X21" s="164" t="s">
        <v>1995</v>
      </c>
      <c r="Y21" s="164" t="s">
        <v>80</v>
      </c>
      <c r="Z21" s="164" t="s">
        <v>1996</v>
      </c>
      <c r="AA21" s="169" t="s">
        <v>2039</v>
      </c>
      <c r="AB21" s="164" t="s">
        <v>80</v>
      </c>
    </row>
    <row r="22" spans="1:28" ht="15">
      <c r="A22" s="164" t="s">
        <v>31</v>
      </c>
      <c r="B22" s="163">
        <v>272322</v>
      </c>
      <c r="C22" s="164">
        <v>1365072</v>
      </c>
      <c r="D22" s="164" t="s">
        <v>1998</v>
      </c>
      <c r="E22" s="164" t="s">
        <v>30</v>
      </c>
      <c r="F22" s="165" t="s">
        <v>2051</v>
      </c>
      <c r="G22" s="163" t="s">
        <v>2037</v>
      </c>
      <c r="H22" s="163" t="s">
        <v>2038</v>
      </c>
      <c r="I22" s="165">
        <v>260253</v>
      </c>
      <c r="J22" s="166" t="s">
        <v>30</v>
      </c>
      <c r="K22" s="164" t="s">
        <v>30</v>
      </c>
      <c r="L22" s="164" t="s">
        <v>2026</v>
      </c>
      <c r="M22" s="164" t="s">
        <v>2027</v>
      </c>
      <c r="N22" s="164" t="s">
        <v>2028</v>
      </c>
      <c r="O22" s="164" t="s">
        <v>2029</v>
      </c>
      <c r="P22" s="164" t="s">
        <v>2029</v>
      </c>
      <c r="Q22" s="164">
        <v>174</v>
      </c>
      <c r="R22" s="164" t="s">
        <v>1994</v>
      </c>
      <c r="S22" s="164" t="s">
        <v>1344</v>
      </c>
      <c r="T22" s="164">
        <v>28</v>
      </c>
      <c r="U22" s="164">
        <v>2</v>
      </c>
      <c r="V22" s="164">
        <v>1</v>
      </c>
      <c r="W22" s="163">
        <v>15</v>
      </c>
      <c r="X22" s="164" t="s">
        <v>1995</v>
      </c>
      <c r="Y22" s="164" t="s">
        <v>80</v>
      </c>
      <c r="Z22" s="164" t="s">
        <v>1996</v>
      </c>
      <c r="AA22" s="169" t="s">
        <v>2039</v>
      </c>
      <c r="AB22" s="164" t="s">
        <v>80</v>
      </c>
    </row>
    <row r="23" spans="1:28" ht="15">
      <c r="A23" s="164" t="s">
        <v>31</v>
      </c>
      <c r="B23" s="163">
        <v>273381</v>
      </c>
      <c r="C23" s="164">
        <v>1365072</v>
      </c>
      <c r="D23" s="164" t="s">
        <v>1998</v>
      </c>
      <c r="E23" s="164" t="s">
        <v>30</v>
      </c>
      <c r="F23" s="165" t="s">
        <v>2052</v>
      </c>
      <c r="G23" s="163" t="s">
        <v>2007</v>
      </c>
      <c r="H23" s="163" t="s">
        <v>2008</v>
      </c>
      <c r="I23" s="165">
        <v>50230</v>
      </c>
      <c r="J23" s="166" t="s">
        <v>30</v>
      </c>
      <c r="K23" s="164" t="s">
        <v>30</v>
      </c>
      <c r="L23" s="164" t="s">
        <v>2026</v>
      </c>
      <c r="M23" s="164" t="s">
        <v>2027</v>
      </c>
      <c r="N23" s="164" t="s">
        <v>2028</v>
      </c>
      <c r="O23" s="164" t="s">
        <v>2029</v>
      </c>
      <c r="P23" s="164" t="s">
        <v>2029</v>
      </c>
      <c r="Q23" s="164">
        <v>174</v>
      </c>
      <c r="R23" s="164" t="s">
        <v>1994</v>
      </c>
      <c r="S23" s="164" t="s">
        <v>1344</v>
      </c>
      <c r="T23" s="164">
        <v>28</v>
      </c>
      <c r="U23" s="164">
        <v>2</v>
      </c>
      <c r="V23" s="164">
        <v>1</v>
      </c>
      <c r="W23" s="163">
        <v>16</v>
      </c>
      <c r="X23" s="164" t="s">
        <v>1995</v>
      </c>
      <c r="Y23" s="164" t="s">
        <v>80</v>
      </c>
      <c r="Z23" s="164" t="s">
        <v>1996</v>
      </c>
      <c r="AA23" s="169" t="s">
        <v>2033</v>
      </c>
      <c r="AB23" s="164" t="s">
        <v>80</v>
      </c>
    </row>
    <row r="24" spans="1:28" ht="15">
      <c r="A24" s="164" t="s">
        <v>31</v>
      </c>
      <c r="B24" s="163">
        <v>273378</v>
      </c>
      <c r="C24" s="164">
        <v>1365072</v>
      </c>
      <c r="D24" s="164" t="s">
        <v>1998</v>
      </c>
      <c r="E24" s="164" t="s">
        <v>30</v>
      </c>
      <c r="F24" s="165" t="s">
        <v>2053</v>
      </c>
      <c r="G24" s="163" t="s">
        <v>2007</v>
      </c>
      <c r="H24" s="163" t="s">
        <v>2008</v>
      </c>
      <c r="I24" s="165">
        <v>50230</v>
      </c>
      <c r="J24" s="166" t="s">
        <v>30</v>
      </c>
      <c r="K24" s="164" t="s">
        <v>30</v>
      </c>
      <c r="L24" s="164" t="s">
        <v>2026</v>
      </c>
      <c r="M24" s="164" t="s">
        <v>2027</v>
      </c>
      <c r="N24" s="164" t="s">
        <v>2028</v>
      </c>
      <c r="O24" s="164" t="s">
        <v>2029</v>
      </c>
      <c r="P24" s="164" t="s">
        <v>2029</v>
      </c>
      <c r="Q24" s="164">
        <v>174</v>
      </c>
      <c r="R24" s="164" t="s">
        <v>1994</v>
      </c>
      <c r="S24" s="164" t="s">
        <v>1344</v>
      </c>
      <c r="T24" s="164">
        <v>28</v>
      </c>
      <c r="U24" s="164">
        <v>2</v>
      </c>
      <c r="V24" s="164">
        <v>1</v>
      </c>
      <c r="W24" s="163">
        <v>17</v>
      </c>
      <c r="X24" s="164" t="s">
        <v>1995</v>
      </c>
      <c r="Y24" s="164" t="s">
        <v>80</v>
      </c>
      <c r="Z24" s="164" t="s">
        <v>1996</v>
      </c>
      <c r="AA24" s="169" t="s">
        <v>2033</v>
      </c>
      <c r="AB24" s="164" t="s">
        <v>80</v>
      </c>
    </row>
    <row r="25" spans="1:28" ht="15">
      <c r="A25" s="164" t="s">
        <v>31</v>
      </c>
      <c r="B25" s="163">
        <v>273269</v>
      </c>
      <c r="C25" s="164">
        <v>1365072</v>
      </c>
      <c r="D25" s="164" t="s">
        <v>1998</v>
      </c>
      <c r="E25" s="164" t="s">
        <v>30</v>
      </c>
      <c r="F25" s="165" t="s">
        <v>2054</v>
      </c>
      <c r="G25" s="163" t="s">
        <v>2007</v>
      </c>
      <c r="H25" s="163" t="s">
        <v>2035</v>
      </c>
      <c r="I25" s="165">
        <v>50230</v>
      </c>
      <c r="J25" s="166" t="s">
        <v>30</v>
      </c>
      <c r="K25" s="164" t="s">
        <v>30</v>
      </c>
      <c r="L25" s="164" t="s">
        <v>2026</v>
      </c>
      <c r="M25" s="164" t="s">
        <v>2027</v>
      </c>
      <c r="N25" s="164" t="s">
        <v>2028</v>
      </c>
      <c r="O25" s="164" t="s">
        <v>2029</v>
      </c>
      <c r="P25" s="164" t="s">
        <v>2029</v>
      </c>
      <c r="Q25" s="164">
        <v>174</v>
      </c>
      <c r="R25" s="164" t="s">
        <v>1994</v>
      </c>
      <c r="S25" s="164" t="s">
        <v>1344</v>
      </c>
      <c r="T25" s="164">
        <v>28</v>
      </c>
      <c r="U25" s="164">
        <v>2</v>
      </c>
      <c r="V25" s="164">
        <v>1</v>
      </c>
      <c r="W25" s="163">
        <v>18</v>
      </c>
      <c r="X25" s="164" t="s">
        <v>1995</v>
      </c>
      <c r="Y25" s="164" t="s">
        <v>80</v>
      </c>
      <c r="Z25" s="164" t="s">
        <v>1996</v>
      </c>
      <c r="AA25" s="169" t="s">
        <v>2033</v>
      </c>
      <c r="AB25" s="164" t="s">
        <v>80</v>
      </c>
    </row>
    <row r="26" spans="1:28" ht="15">
      <c r="A26" s="164" t="s">
        <v>31</v>
      </c>
      <c r="B26" s="163">
        <v>273367</v>
      </c>
      <c r="C26" s="164">
        <v>1365072</v>
      </c>
      <c r="D26" s="164" t="s">
        <v>1998</v>
      </c>
      <c r="E26" s="164" t="s">
        <v>30</v>
      </c>
      <c r="F26" s="165" t="s">
        <v>2055</v>
      </c>
      <c r="G26" s="163" t="s">
        <v>2007</v>
      </c>
      <c r="H26" s="163" t="s">
        <v>2032</v>
      </c>
      <c r="I26" s="165">
        <v>50230</v>
      </c>
      <c r="J26" s="166" t="s">
        <v>30</v>
      </c>
      <c r="K26" s="164" t="s">
        <v>30</v>
      </c>
      <c r="L26" s="164" t="s">
        <v>2026</v>
      </c>
      <c r="M26" s="164" t="s">
        <v>2027</v>
      </c>
      <c r="N26" s="164" t="s">
        <v>2028</v>
      </c>
      <c r="O26" s="164" t="s">
        <v>2029</v>
      </c>
      <c r="P26" s="164" t="s">
        <v>2029</v>
      </c>
      <c r="Q26" s="164">
        <v>174</v>
      </c>
      <c r="R26" s="164" t="s">
        <v>1994</v>
      </c>
      <c r="S26" s="164" t="s">
        <v>1344</v>
      </c>
      <c r="T26" s="164">
        <v>28</v>
      </c>
      <c r="U26" s="164">
        <v>2</v>
      </c>
      <c r="V26" s="164">
        <v>1</v>
      </c>
      <c r="W26" s="163">
        <v>20</v>
      </c>
      <c r="X26" s="164" t="s">
        <v>1995</v>
      </c>
      <c r="Y26" s="164" t="s">
        <v>80</v>
      </c>
      <c r="Z26" s="164" t="s">
        <v>1996</v>
      </c>
      <c r="AA26" s="169" t="s">
        <v>2033</v>
      </c>
      <c r="AB26" s="164" t="s">
        <v>80</v>
      </c>
    </row>
    <row r="27" spans="1:28" ht="15">
      <c r="A27" s="164" t="s">
        <v>31</v>
      </c>
      <c r="B27" s="163">
        <v>273306</v>
      </c>
      <c r="C27" s="164">
        <v>1365072</v>
      </c>
      <c r="D27" s="164" t="s">
        <v>1998</v>
      </c>
      <c r="E27" s="164" t="s">
        <v>30</v>
      </c>
      <c r="F27" s="165" t="s">
        <v>2056</v>
      </c>
      <c r="G27" s="163" t="s">
        <v>2007</v>
      </c>
      <c r="H27" s="163" t="s">
        <v>2057</v>
      </c>
      <c r="I27" s="165">
        <v>50230</v>
      </c>
      <c r="J27" s="166" t="s">
        <v>30</v>
      </c>
      <c r="K27" s="164" t="s">
        <v>30</v>
      </c>
      <c r="L27" s="164" t="s">
        <v>2058</v>
      </c>
      <c r="M27" s="164" t="s">
        <v>2027</v>
      </c>
      <c r="N27" s="164" t="s">
        <v>2059</v>
      </c>
      <c r="O27" s="164" t="s">
        <v>2029</v>
      </c>
      <c r="P27" s="164" t="s">
        <v>2029</v>
      </c>
      <c r="Q27" s="164">
        <v>174</v>
      </c>
      <c r="R27" s="164" t="s">
        <v>1994</v>
      </c>
      <c r="S27" s="164" t="s">
        <v>1344</v>
      </c>
      <c r="T27" s="164">
        <v>28</v>
      </c>
      <c r="U27" s="164">
        <v>2</v>
      </c>
      <c r="V27" s="164">
        <v>1</v>
      </c>
      <c r="W27" s="163">
        <v>22</v>
      </c>
      <c r="X27" s="164" t="s">
        <v>1995</v>
      </c>
      <c r="Y27" s="164" t="s">
        <v>80</v>
      </c>
      <c r="Z27" s="164" t="s">
        <v>1996</v>
      </c>
      <c r="AA27" s="169" t="s">
        <v>2033</v>
      </c>
      <c r="AB27" s="164" t="s">
        <v>80</v>
      </c>
    </row>
    <row r="28" spans="1:28" ht="15">
      <c r="A28" s="164" t="s">
        <v>31</v>
      </c>
      <c r="B28" s="163">
        <v>273295</v>
      </c>
      <c r="C28" s="164">
        <v>1365072</v>
      </c>
      <c r="D28" s="164" t="s">
        <v>1998</v>
      </c>
      <c r="E28" s="164" t="s">
        <v>30</v>
      </c>
      <c r="F28" s="165" t="s">
        <v>2060</v>
      </c>
      <c r="G28" s="163" t="s">
        <v>2007</v>
      </c>
      <c r="H28" s="163" t="s">
        <v>2035</v>
      </c>
      <c r="I28" s="165">
        <v>50230</v>
      </c>
      <c r="J28" s="166" t="s">
        <v>30</v>
      </c>
      <c r="K28" s="164" t="s">
        <v>30</v>
      </c>
      <c r="L28" s="164" t="s">
        <v>2061</v>
      </c>
      <c r="M28" s="164" t="s">
        <v>2027</v>
      </c>
      <c r="N28" s="164" t="s">
        <v>2059</v>
      </c>
      <c r="O28" s="164" t="s">
        <v>2029</v>
      </c>
      <c r="P28" s="164" t="s">
        <v>2029</v>
      </c>
      <c r="Q28" s="164">
        <v>174</v>
      </c>
      <c r="R28" s="164" t="s">
        <v>1994</v>
      </c>
      <c r="S28" s="164" t="s">
        <v>1344</v>
      </c>
      <c r="T28" s="164">
        <v>28</v>
      </c>
      <c r="U28" s="164">
        <v>2</v>
      </c>
      <c r="V28" s="164">
        <v>1</v>
      </c>
      <c r="W28" s="163">
        <v>23</v>
      </c>
      <c r="X28" s="164" t="s">
        <v>1995</v>
      </c>
      <c r="Y28" s="164" t="s">
        <v>80</v>
      </c>
      <c r="Z28" s="164" t="s">
        <v>1996</v>
      </c>
      <c r="AA28" s="169" t="s">
        <v>2033</v>
      </c>
      <c r="AB28" s="164" t="s">
        <v>80</v>
      </c>
    </row>
    <row r="29" spans="1:28" ht="15">
      <c r="A29" s="164" t="s">
        <v>31</v>
      </c>
      <c r="B29" s="163">
        <v>272701</v>
      </c>
      <c r="C29" s="164">
        <v>1365072</v>
      </c>
      <c r="D29" s="164" t="s">
        <v>1998</v>
      </c>
      <c r="E29" s="164" t="s">
        <v>30</v>
      </c>
      <c r="F29" s="165" t="s">
        <v>2062</v>
      </c>
      <c r="G29" s="163" t="s">
        <v>2037</v>
      </c>
      <c r="H29" s="163" t="s">
        <v>2047</v>
      </c>
      <c r="I29" s="165">
        <v>260251</v>
      </c>
      <c r="J29" s="166" t="s">
        <v>30</v>
      </c>
      <c r="K29" s="164" t="s">
        <v>30</v>
      </c>
      <c r="L29" s="164" t="s">
        <v>2063</v>
      </c>
      <c r="M29" s="164" t="s">
        <v>2027</v>
      </c>
      <c r="N29" s="164" t="s">
        <v>2059</v>
      </c>
      <c r="O29" s="164" t="s">
        <v>2029</v>
      </c>
      <c r="P29" s="164" t="s">
        <v>2029</v>
      </c>
      <c r="Q29" s="164">
        <v>174</v>
      </c>
      <c r="R29" s="164" t="s">
        <v>1994</v>
      </c>
      <c r="S29" s="164" t="s">
        <v>1344</v>
      </c>
      <c r="T29" s="164">
        <v>28</v>
      </c>
      <c r="U29" s="164">
        <v>2</v>
      </c>
      <c r="V29" s="164">
        <v>1</v>
      </c>
      <c r="W29" s="163">
        <v>27</v>
      </c>
      <c r="X29" s="164" t="s">
        <v>1995</v>
      </c>
      <c r="Y29" s="164" t="s">
        <v>80</v>
      </c>
      <c r="Z29" s="164" t="s">
        <v>1996</v>
      </c>
      <c r="AA29" s="169" t="s">
        <v>2039</v>
      </c>
      <c r="AB29" s="164" t="s">
        <v>80</v>
      </c>
    </row>
    <row r="30" spans="1:28" ht="15">
      <c r="A30" s="164" t="s">
        <v>31</v>
      </c>
      <c r="B30" s="163">
        <v>273280</v>
      </c>
      <c r="C30" s="164">
        <v>1365072</v>
      </c>
      <c r="D30" s="164" t="s">
        <v>1998</v>
      </c>
      <c r="E30" s="164" t="s">
        <v>30</v>
      </c>
      <c r="F30" s="165" t="s">
        <v>2064</v>
      </c>
      <c r="G30" s="163" t="s">
        <v>2007</v>
      </c>
      <c r="H30" s="163" t="s">
        <v>2035</v>
      </c>
      <c r="I30" s="165">
        <v>50230</v>
      </c>
      <c r="J30" s="166" t="s">
        <v>30</v>
      </c>
      <c r="K30" s="164" t="s">
        <v>30</v>
      </c>
      <c r="L30" s="164" t="s">
        <v>2065</v>
      </c>
      <c r="M30" s="164" t="s">
        <v>2027</v>
      </c>
      <c r="N30" s="164" t="s">
        <v>2059</v>
      </c>
      <c r="O30" s="164" t="s">
        <v>2029</v>
      </c>
      <c r="P30" s="164" t="s">
        <v>2029</v>
      </c>
      <c r="Q30" s="164">
        <v>174</v>
      </c>
      <c r="R30" s="164" t="s">
        <v>1994</v>
      </c>
      <c r="S30" s="164" t="s">
        <v>1344</v>
      </c>
      <c r="T30" s="164">
        <v>28</v>
      </c>
      <c r="U30" s="164">
        <v>2</v>
      </c>
      <c r="V30" s="164">
        <v>1</v>
      </c>
      <c r="W30" s="163">
        <v>30</v>
      </c>
      <c r="X30" s="164" t="s">
        <v>1995</v>
      </c>
      <c r="Y30" s="164" t="s">
        <v>80</v>
      </c>
      <c r="Z30" s="164" t="s">
        <v>1996</v>
      </c>
      <c r="AA30" s="169" t="s">
        <v>2033</v>
      </c>
      <c r="AB30" s="164" t="s">
        <v>80</v>
      </c>
    </row>
    <row r="31" spans="1:28" s="177" customFormat="1" ht="15">
      <c r="A31" s="173"/>
      <c r="B31" s="172"/>
      <c r="C31" s="173"/>
      <c r="D31" s="173" t="s">
        <v>1998</v>
      </c>
      <c r="E31" s="173" t="s">
        <v>30</v>
      </c>
      <c r="F31" s="175" t="s">
        <v>2066</v>
      </c>
      <c r="G31" s="172" t="s">
        <v>2007</v>
      </c>
      <c r="H31" s="172" t="s">
        <v>2008</v>
      </c>
      <c r="I31" s="175"/>
      <c r="J31" s="176" t="s">
        <v>30</v>
      </c>
      <c r="K31" s="173" t="s">
        <v>30</v>
      </c>
      <c r="L31" s="173" t="s">
        <v>2067</v>
      </c>
      <c r="M31" s="173" t="s">
        <v>2027</v>
      </c>
      <c r="N31" s="173" t="s">
        <v>2059</v>
      </c>
      <c r="O31" s="173" t="s">
        <v>2029</v>
      </c>
      <c r="P31" s="173" t="s">
        <v>2029</v>
      </c>
      <c r="Q31" s="173">
        <v>174</v>
      </c>
      <c r="R31" s="173" t="s">
        <v>1994</v>
      </c>
      <c r="S31" s="173" t="s">
        <v>1344</v>
      </c>
      <c r="T31" s="173">
        <v>28</v>
      </c>
      <c r="U31" s="173">
        <v>2</v>
      </c>
      <c r="V31" s="173">
        <v>1</v>
      </c>
      <c r="W31" s="172">
        <v>32</v>
      </c>
      <c r="X31" s="173" t="s">
        <v>1995</v>
      </c>
      <c r="Y31" s="173" t="s">
        <v>80</v>
      </c>
      <c r="Z31" s="173" t="s">
        <v>1996</v>
      </c>
      <c r="AA31" s="175"/>
      <c r="AB31" s="173" t="s">
        <v>80</v>
      </c>
    </row>
    <row r="32" spans="1:28" s="177" customFormat="1" ht="15">
      <c r="A32" s="173"/>
      <c r="B32" s="172"/>
      <c r="C32" s="173"/>
      <c r="D32" s="173" t="s">
        <v>1998</v>
      </c>
      <c r="E32" s="173" t="s">
        <v>30</v>
      </c>
      <c r="F32" s="175" t="s">
        <v>2068</v>
      </c>
      <c r="G32" s="172" t="s">
        <v>2069</v>
      </c>
      <c r="H32" s="172" t="s">
        <v>2070</v>
      </c>
      <c r="I32" s="175"/>
      <c r="J32" s="176" t="s">
        <v>30</v>
      </c>
      <c r="K32" s="173" t="s">
        <v>30</v>
      </c>
      <c r="L32" s="173" t="s">
        <v>2071</v>
      </c>
      <c r="M32" s="173" t="s">
        <v>2027</v>
      </c>
      <c r="N32" s="173" t="s">
        <v>2059</v>
      </c>
      <c r="O32" s="173" t="s">
        <v>2029</v>
      </c>
      <c r="P32" s="173" t="s">
        <v>2029</v>
      </c>
      <c r="Q32" s="173">
        <v>174</v>
      </c>
      <c r="R32" s="173" t="s">
        <v>1994</v>
      </c>
      <c r="S32" s="173" t="s">
        <v>1344</v>
      </c>
      <c r="T32" s="173">
        <v>28</v>
      </c>
      <c r="U32" s="173">
        <v>2</v>
      </c>
      <c r="V32" s="173">
        <v>1</v>
      </c>
      <c r="W32" s="172">
        <v>34</v>
      </c>
      <c r="X32" s="173" t="s">
        <v>1995</v>
      </c>
      <c r="Y32" s="173" t="s">
        <v>80</v>
      </c>
      <c r="Z32" s="173" t="s">
        <v>1996</v>
      </c>
      <c r="AA32" s="175"/>
      <c r="AB32" s="173" t="s">
        <v>80</v>
      </c>
    </row>
    <row r="33" spans="1:28" s="177" customFormat="1" ht="15">
      <c r="A33" s="173"/>
      <c r="B33" s="172"/>
      <c r="C33" s="173"/>
      <c r="D33" s="173" t="s">
        <v>1998</v>
      </c>
      <c r="E33" s="173" t="s">
        <v>30</v>
      </c>
      <c r="F33" s="178" t="s">
        <v>2072</v>
      </c>
      <c r="G33" s="172" t="s">
        <v>2000</v>
      </c>
      <c r="H33" s="172" t="s">
        <v>2001</v>
      </c>
      <c r="I33" s="175"/>
      <c r="J33" s="176" t="s">
        <v>30</v>
      </c>
      <c r="K33" s="173" t="s">
        <v>30</v>
      </c>
      <c r="L33" s="173" t="s">
        <v>2073</v>
      </c>
      <c r="M33" s="173" t="s">
        <v>2027</v>
      </c>
      <c r="N33" s="173" t="s">
        <v>2059</v>
      </c>
      <c r="O33" s="173" t="s">
        <v>2029</v>
      </c>
      <c r="P33" s="173" t="s">
        <v>2029</v>
      </c>
      <c r="Q33" s="173">
        <v>174</v>
      </c>
      <c r="R33" s="173" t="s">
        <v>1994</v>
      </c>
      <c r="S33" s="173" t="s">
        <v>1344</v>
      </c>
      <c r="T33" s="173">
        <v>28</v>
      </c>
      <c r="U33" s="173">
        <v>2</v>
      </c>
      <c r="V33" s="173">
        <v>1</v>
      </c>
      <c r="W33" s="172">
        <v>35</v>
      </c>
      <c r="X33" s="173" t="s">
        <v>1995</v>
      </c>
      <c r="Y33" s="173" t="s">
        <v>80</v>
      </c>
      <c r="Z33" s="173" t="s">
        <v>1996</v>
      </c>
      <c r="AA33" s="175"/>
      <c r="AB33" s="173" t="s">
        <v>80</v>
      </c>
    </row>
    <row r="34" spans="1:28" s="177" customFormat="1" ht="15">
      <c r="A34" s="173"/>
      <c r="B34" s="172"/>
      <c r="C34" s="173"/>
      <c r="D34" s="173" t="s">
        <v>1998</v>
      </c>
      <c r="E34" s="173" t="s">
        <v>30</v>
      </c>
      <c r="F34" s="178" t="s">
        <v>2074</v>
      </c>
      <c r="G34" s="172" t="s">
        <v>2000</v>
      </c>
      <c r="H34" s="172" t="s">
        <v>2001</v>
      </c>
      <c r="I34" s="175"/>
      <c r="J34" s="176" t="s">
        <v>30</v>
      </c>
      <c r="K34" s="173" t="s">
        <v>30</v>
      </c>
      <c r="L34" s="173" t="s">
        <v>2075</v>
      </c>
      <c r="M34" s="173" t="s">
        <v>2027</v>
      </c>
      <c r="N34" s="173" t="s">
        <v>2059</v>
      </c>
      <c r="O34" s="173" t="s">
        <v>2029</v>
      </c>
      <c r="P34" s="173" t="s">
        <v>2029</v>
      </c>
      <c r="Q34" s="173">
        <v>174</v>
      </c>
      <c r="R34" s="173" t="s">
        <v>1994</v>
      </c>
      <c r="S34" s="173" t="s">
        <v>1344</v>
      </c>
      <c r="T34" s="173">
        <v>28</v>
      </c>
      <c r="U34" s="173">
        <v>2</v>
      </c>
      <c r="V34" s="173">
        <v>1</v>
      </c>
      <c r="W34" s="172">
        <v>36</v>
      </c>
      <c r="X34" s="173" t="s">
        <v>1995</v>
      </c>
      <c r="Y34" s="173" t="s">
        <v>80</v>
      </c>
      <c r="Z34" s="173" t="s">
        <v>1996</v>
      </c>
      <c r="AA34" s="175"/>
      <c r="AB34" s="173" t="s">
        <v>80</v>
      </c>
    </row>
    <row r="35" spans="1:28" ht="15">
      <c r="A35" s="164" t="s">
        <v>31</v>
      </c>
      <c r="B35" s="163">
        <v>273172</v>
      </c>
      <c r="C35" s="164">
        <v>1365072</v>
      </c>
      <c r="D35" s="164" t="s">
        <v>1998</v>
      </c>
      <c r="E35" s="164" t="s">
        <v>30</v>
      </c>
      <c r="F35" s="165" t="s">
        <v>2076</v>
      </c>
      <c r="G35" s="163" t="s">
        <v>2000</v>
      </c>
      <c r="H35" s="163" t="s">
        <v>2001</v>
      </c>
      <c r="I35" s="165">
        <v>260247</v>
      </c>
      <c r="J35" s="166" t="s">
        <v>30</v>
      </c>
      <c r="K35" s="164" t="s">
        <v>30</v>
      </c>
      <c r="L35" s="164" t="s">
        <v>2077</v>
      </c>
      <c r="M35" s="164" t="s">
        <v>2027</v>
      </c>
      <c r="N35" s="164" t="s">
        <v>2059</v>
      </c>
      <c r="O35" s="164" t="s">
        <v>2029</v>
      </c>
      <c r="P35" s="164" t="s">
        <v>2029</v>
      </c>
      <c r="Q35" s="164">
        <v>174</v>
      </c>
      <c r="R35" s="164" t="s">
        <v>1994</v>
      </c>
      <c r="S35" s="164" t="s">
        <v>1344</v>
      </c>
      <c r="T35" s="164">
        <v>28</v>
      </c>
      <c r="U35" s="164">
        <v>2</v>
      </c>
      <c r="V35" s="164">
        <v>1</v>
      </c>
      <c r="W35" s="163">
        <v>51</v>
      </c>
      <c r="X35" s="164" t="s">
        <v>1995</v>
      </c>
      <c r="Y35" s="164" t="s">
        <v>80</v>
      </c>
      <c r="Z35" s="164" t="s">
        <v>1996</v>
      </c>
      <c r="AA35" s="165" t="s">
        <v>2003</v>
      </c>
      <c r="AB35" s="164" t="s">
        <v>80</v>
      </c>
    </row>
    <row r="36" spans="1:28" ht="15">
      <c r="A36" s="164" t="s">
        <v>31</v>
      </c>
      <c r="B36" s="163">
        <v>270321</v>
      </c>
      <c r="C36" s="164">
        <v>1365072</v>
      </c>
      <c r="D36" s="164" t="s">
        <v>2023</v>
      </c>
      <c r="E36" s="164" t="s">
        <v>1985</v>
      </c>
      <c r="F36" s="165" t="s">
        <v>2078</v>
      </c>
      <c r="G36" s="163" t="s">
        <v>2000</v>
      </c>
      <c r="H36" s="163" t="s">
        <v>2079</v>
      </c>
      <c r="I36" s="165">
        <v>94319</v>
      </c>
      <c r="J36" s="166">
        <v>1.5</v>
      </c>
      <c r="K36" s="164" t="s">
        <v>1989</v>
      </c>
      <c r="L36" s="164" t="s">
        <v>2026</v>
      </c>
      <c r="M36" s="164" t="s">
        <v>2080</v>
      </c>
      <c r="N36" s="164" t="s">
        <v>2081</v>
      </c>
      <c r="O36" s="164" t="s">
        <v>2082</v>
      </c>
      <c r="P36" s="164" t="s">
        <v>2082</v>
      </c>
      <c r="Q36" s="164">
        <v>174</v>
      </c>
      <c r="R36" s="164" t="s">
        <v>1994</v>
      </c>
      <c r="S36" s="164" t="s">
        <v>1344</v>
      </c>
      <c r="T36" s="164">
        <v>26</v>
      </c>
      <c r="U36" s="164">
        <v>2</v>
      </c>
      <c r="V36" s="164">
        <v>1</v>
      </c>
      <c r="W36" s="163">
        <v>26</v>
      </c>
      <c r="X36" s="164" t="s">
        <v>1995</v>
      </c>
      <c r="Y36" s="164" t="s">
        <v>80</v>
      </c>
      <c r="Z36" s="164" t="s">
        <v>1996</v>
      </c>
      <c r="AA36" s="165" t="s">
        <v>2083</v>
      </c>
      <c r="AB36" s="164" t="s">
        <v>80</v>
      </c>
    </row>
    <row r="37" spans="1:28" ht="15">
      <c r="A37" s="164" t="s">
        <v>31</v>
      </c>
      <c r="B37" s="163">
        <v>270202</v>
      </c>
      <c r="C37" s="164">
        <v>1365072</v>
      </c>
      <c r="D37" s="164" t="s">
        <v>1998</v>
      </c>
      <c r="E37" s="164" t="s">
        <v>30</v>
      </c>
      <c r="F37" s="165" t="s">
        <v>2084</v>
      </c>
      <c r="G37" s="163" t="s">
        <v>2000</v>
      </c>
      <c r="H37" s="163" t="s">
        <v>2042</v>
      </c>
      <c r="I37" s="165">
        <v>260248</v>
      </c>
      <c r="J37" s="166" t="s">
        <v>30</v>
      </c>
      <c r="K37" s="164" t="s">
        <v>30</v>
      </c>
      <c r="L37" s="164" t="s">
        <v>2026</v>
      </c>
      <c r="M37" s="164" t="s">
        <v>2080</v>
      </c>
      <c r="N37" s="164" t="s">
        <v>2081</v>
      </c>
      <c r="O37" s="164" t="s">
        <v>2082</v>
      </c>
      <c r="P37" s="164" t="s">
        <v>2082</v>
      </c>
      <c r="Q37" s="164">
        <v>174</v>
      </c>
      <c r="R37" s="164" t="s">
        <v>1994</v>
      </c>
      <c r="S37" s="164" t="s">
        <v>1344</v>
      </c>
      <c r="T37" s="164">
        <v>26</v>
      </c>
      <c r="U37" s="164">
        <v>2</v>
      </c>
      <c r="V37" s="164">
        <v>1</v>
      </c>
      <c r="W37" s="163">
        <v>1</v>
      </c>
      <c r="X37" s="164" t="s">
        <v>1995</v>
      </c>
      <c r="Y37" s="164" t="s">
        <v>80</v>
      </c>
      <c r="Z37" s="164" t="s">
        <v>1996</v>
      </c>
      <c r="AA37" s="169" t="s">
        <v>2043</v>
      </c>
      <c r="AB37" s="164" t="s">
        <v>80</v>
      </c>
    </row>
    <row r="38" spans="1:28" ht="15">
      <c r="A38" s="164" t="s">
        <v>31</v>
      </c>
      <c r="B38" s="163">
        <v>270201</v>
      </c>
      <c r="C38" s="164">
        <v>1365072</v>
      </c>
      <c r="D38" s="164" t="s">
        <v>1998</v>
      </c>
      <c r="E38" s="164" t="s">
        <v>30</v>
      </c>
      <c r="F38" s="165" t="s">
        <v>2085</v>
      </c>
      <c r="G38" s="163" t="s">
        <v>2000</v>
      </c>
      <c r="H38" s="163" t="s">
        <v>2042</v>
      </c>
      <c r="I38" s="165">
        <v>260248</v>
      </c>
      <c r="J38" s="166" t="s">
        <v>30</v>
      </c>
      <c r="K38" s="164" t="s">
        <v>30</v>
      </c>
      <c r="L38" s="164" t="s">
        <v>2026</v>
      </c>
      <c r="M38" s="164" t="s">
        <v>2080</v>
      </c>
      <c r="N38" s="164" t="s">
        <v>2081</v>
      </c>
      <c r="O38" s="164" t="s">
        <v>2082</v>
      </c>
      <c r="P38" s="164" t="s">
        <v>2082</v>
      </c>
      <c r="Q38" s="164">
        <v>174</v>
      </c>
      <c r="R38" s="164" t="s">
        <v>1994</v>
      </c>
      <c r="S38" s="164" t="s">
        <v>1344</v>
      </c>
      <c r="T38" s="164">
        <v>26</v>
      </c>
      <c r="U38" s="164">
        <v>2</v>
      </c>
      <c r="V38" s="164">
        <v>1</v>
      </c>
      <c r="W38" s="163" t="s">
        <v>2086</v>
      </c>
      <c r="X38" s="164" t="s">
        <v>1995</v>
      </c>
      <c r="Y38" s="164" t="s">
        <v>80</v>
      </c>
      <c r="Z38" s="164" t="s">
        <v>1996</v>
      </c>
      <c r="AA38" s="169" t="s">
        <v>2043</v>
      </c>
      <c r="AB38" s="164" t="s">
        <v>80</v>
      </c>
    </row>
    <row r="39" spans="1:28" ht="15">
      <c r="A39" s="164" t="s">
        <v>31</v>
      </c>
      <c r="B39" s="163">
        <v>270198</v>
      </c>
      <c r="C39" s="164">
        <v>1365072</v>
      </c>
      <c r="D39" s="164" t="s">
        <v>1998</v>
      </c>
      <c r="E39" s="164" t="s">
        <v>30</v>
      </c>
      <c r="F39" s="165" t="s">
        <v>2087</v>
      </c>
      <c r="G39" s="163" t="s">
        <v>2000</v>
      </c>
      <c r="H39" s="163" t="s">
        <v>2042</v>
      </c>
      <c r="I39" s="165">
        <v>260248</v>
      </c>
      <c r="J39" s="166" t="s">
        <v>30</v>
      </c>
      <c r="K39" s="164" t="s">
        <v>30</v>
      </c>
      <c r="L39" s="164" t="s">
        <v>2026</v>
      </c>
      <c r="M39" s="164" t="s">
        <v>2080</v>
      </c>
      <c r="N39" s="164" t="s">
        <v>2081</v>
      </c>
      <c r="O39" s="164" t="s">
        <v>2082</v>
      </c>
      <c r="P39" s="164" t="s">
        <v>2082</v>
      </c>
      <c r="Q39" s="164">
        <v>174</v>
      </c>
      <c r="R39" s="164" t="s">
        <v>1994</v>
      </c>
      <c r="S39" s="164" t="s">
        <v>1344</v>
      </c>
      <c r="T39" s="164">
        <v>26</v>
      </c>
      <c r="U39" s="164">
        <v>2</v>
      </c>
      <c r="V39" s="164">
        <v>1</v>
      </c>
      <c r="W39" s="163">
        <v>3</v>
      </c>
      <c r="X39" s="164" t="s">
        <v>1995</v>
      </c>
      <c r="Y39" s="164" t="s">
        <v>80</v>
      </c>
      <c r="Z39" s="164" t="s">
        <v>1996</v>
      </c>
      <c r="AA39" s="169" t="s">
        <v>2043</v>
      </c>
      <c r="AB39" s="164" t="s">
        <v>80</v>
      </c>
    </row>
    <row r="40" spans="1:28" ht="15">
      <c r="A40" s="164" t="s">
        <v>31</v>
      </c>
      <c r="B40" s="163">
        <v>270196</v>
      </c>
      <c r="C40" s="164">
        <v>1365072</v>
      </c>
      <c r="D40" s="164" t="s">
        <v>1998</v>
      </c>
      <c r="E40" s="164" t="s">
        <v>30</v>
      </c>
      <c r="F40" s="165" t="s">
        <v>2088</v>
      </c>
      <c r="G40" s="163" t="s">
        <v>2000</v>
      </c>
      <c r="H40" s="163" t="s">
        <v>2042</v>
      </c>
      <c r="I40" s="165">
        <v>260248</v>
      </c>
      <c r="J40" s="166" t="s">
        <v>30</v>
      </c>
      <c r="K40" s="164" t="s">
        <v>30</v>
      </c>
      <c r="L40" s="164" t="s">
        <v>2026</v>
      </c>
      <c r="M40" s="164" t="s">
        <v>2080</v>
      </c>
      <c r="N40" s="164" t="s">
        <v>2081</v>
      </c>
      <c r="O40" s="164" t="s">
        <v>2082</v>
      </c>
      <c r="P40" s="164" t="s">
        <v>2082</v>
      </c>
      <c r="Q40" s="164">
        <v>174</v>
      </c>
      <c r="R40" s="164" t="s">
        <v>1994</v>
      </c>
      <c r="S40" s="164" t="s">
        <v>1344</v>
      </c>
      <c r="T40" s="164">
        <v>26</v>
      </c>
      <c r="U40" s="164">
        <v>2</v>
      </c>
      <c r="V40" s="164">
        <v>1</v>
      </c>
      <c r="W40" s="163">
        <v>4</v>
      </c>
      <c r="X40" s="164" t="s">
        <v>1995</v>
      </c>
      <c r="Y40" s="164" t="s">
        <v>80</v>
      </c>
      <c r="Z40" s="164" t="s">
        <v>1996</v>
      </c>
      <c r="AA40" s="169" t="s">
        <v>2043</v>
      </c>
      <c r="AB40" s="164" t="s">
        <v>80</v>
      </c>
    </row>
    <row r="41" spans="1:28" ht="15">
      <c r="A41" s="164" t="s">
        <v>31</v>
      </c>
      <c r="B41" s="163">
        <v>270200</v>
      </c>
      <c r="C41" s="164">
        <v>1365072</v>
      </c>
      <c r="D41" s="164" t="s">
        <v>1998</v>
      </c>
      <c r="E41" s="164" t="s">
        <v>30</v>
      </c>
      <c r="F41" s="165" t="s">
        <v>2089</v>
      </c>
      <c r="G41" s="163" t="s">
        <v>2000</v>
      </c>
      <c r="H41" s="163" t="s">
        <v>2042</v>
      </c>
      <c r="I41" s="165">
        <v>260248</v>
      </c>
      <c r="J41" s="166" t="s">
        <v>30</v>
      </c>
      <c r="K41" s="164" t="s">
        <v>30</v>
      </c>
      <c r="L41" s="164" t="s">
        <v>2026</v>
      </c>
      <c r="M41" s="164" t="s">
        <v>2080</v>
      </c>
      <c r="N41" s="164" t="s">
        <v>2081</v>
      </c>
      <c r="O41" s="164" t="s">
        <v>2082</v>
      </c>
      <c r="P41" s="164" t="s">
        <v>2082</v>
      </c>
      <c r="Q41" s="164">
        <v>174</v>
      </c>
      <c r="R41" s="164" t="s">
        <v>1994</v>
      </c>
      <c r="S41" s="164" t="s">
        <v>1344</v>
      </c>
      <c r="T41" s="164">
        <v>26</v>
      </c>
      <c r="U41" s="164">
        <v>2</v>
      </c>
      <c r="V41" s="164">
        <v>1</v>
      </c>
      <c r="W41" s="163">
        <v>5</v>
      </c>
      <c r="X41" s="164" t="s">
        <v>1995</v>
      </c>
      <c r="Y41" s="164" t="s">
        <v>80</v>
      </c>
      <c r="Z41" s="164" t="s">
        <v>1996</v>
      </c>
      <c r="AA41" s="169" t="s">
        <v>2043</v>
      </c>
      <c r="AB41" s="164" t="s">
        <v>80</v>
      </c>
    </row>
    <row r="42" spans="1:28" ht="15">
      <c r="A42" s="164" t="s">
        <v>31</v>
      </c>
      <c r="B42" s="163">
        <v>270189</v>
      </c>
      <c r="C42" s="164">
        <v>1365072</v>
      </c>
      <c r="D42" s="164" t="s">
        <v>1998</v>
      </c>
      <c r="E42" s="164" t="s">
        <v>30</v>
      </c>
      <c r="F42" s="165" t="s">
        <v>2090</v>
      </c>
      <c r="G42" s="163" t="s">
        <v>2000</v>
      </c>
      <c r="H42" s="163" t="s">
        <v>2042</v>
      </c>
      <c r="I42" s="165">
        <v>260248</v>
      </c>
      <c r="J42" s="166" t="s">
        <v>30</v>
      </c>
      <c r="K42" s="164" t="s">
        <v>30</v>
      </c>
      <c r="L42" s="164" t="s">
        <v>2026</v>
      </c>
      <c r="M42" s="164" t="s">
        <v>2080</v>
      </c>
      <c r="N42" s="164" t="s">
        <v>2081</v>
      </c>
      <c r="O42" s="164" t="s">
        <v>2082</v>
      </c>
      <c r="P42" s="164" t="s">
        <v>2082</v>
      </c>
      <c r="Q42" s="164">
        <v>174</v>
      </c>
      <c r="R42" s="164" t="s">
        <v>1994</v>
      </c>
      <c r="S42" s="164" t="s">
        <v>1344</v>
      </c>
      <c r="T42" s="164">
        <v>26</v>
      </c>
      <c r="U42" s="164">
        <v>2</v>
      </c>
      <c r="V42" s="164">
        <v>1</v>
      </c>
      <c r="W42" s="163">
        <v>6</v>
      </c>
      <c r="X42" s="164" t="s">
        <v>1995</v>
      </c>
      <c r="Y42" s="164" t="s">
        <v>80</v>
      </c>
      <c r="Z42" s="164" t="s">
        <v>1996</v>
      </c>
      <c r="AA42" s="169" t="s">
        <v>2043</v>
      </c>
      <c r="AB42" s="164" t="s">
        <v>80</v>
      </c>
    </row>
    <row r="43" spans="1:28" ht="15">
      <c r="A43" s="164" t="s">
        <v>31</v>
      </c>
      <c r="B43" s="163">
        <v>274314</v>
      </c>
      <c r="C43" s="164">
        <v>1365072</v>
      </c>
      <c r="D43" s="164" t="s">
        <v>1998</v>
      </c>
      <c r="E43" s="164" t="s">
        <v>30</v>
      </c>
      <c r="F43" s="165" t="s">
        <v>2091</v>
      </c>
      <c r="G43" s="163" t="s">
        <v>2000</v>
      </c>
      <c r="H43" s="163" t="s">
        <v>2042</v>
      </c>
      <c r="I43" s="165">
        <v>260248</v>
      </c>
      <c r="J43" s="166" t="s">
        <v>30</v>
      </c>
      <c r="K43" s="164" t="s">
        <v>30</v>
      </c>
      <c r="L43" s="164" t="s">
        <v>2026</v>
      </c>
      <c r="M43" s="164" t="s">
        <v>2080</v>
      </c>
      <c r="N43" s="164" t="s">
        <v>2081</v>
      </c>
      <c r="O43" s="164" t="s">
        <v>2082</v>
      </c>
      <c r="P43" s="164" t="s">
        <v>2082</v>
      </c>
      <c r="Q43" s="164">
        <v>174</v>
      </c>
      <c r="R43" s="164" t="s">
        <v>1994</v>
      </c>
      <c r="S43" s="164" t="s">
        <v>1344</v>
      </c>
      <c r="T43" s="164">
        <v>26</v>
      </c>
      <c r="U43" s="164">
        <v>2</v>
      </c>
      <c r="V43" s="164">
        <v>1</v>
      </c>
      <c r="W43" s="163">
        <v>7</v>
      </c>
      <c r="X43" s="164" t="s">
        <v>1995</v>
      </c>
      <c r="Y43" s="164" t="s">
        <v>80</v>
      </c>
      <c r="Z43" s="164" t="s">
        <v>1996</v>
      </c>
      <c r="AA43" s="169" t="s">
        <v>2043</v>
      </c>
      <c r="AB43" s="164" t="s">
        <v>80</v>
      </c>
    </row>
    <row r="44" spans="1:28" ht="15">
      <c r="A44" s="164" t="s">
        <v>31</v>
      </c>
      <c r="B44" s="163">
        <v>270237</v>
      </c>
      <c r="C44" s="164">
        <v>1365072</v>
      </c>
      <c r="D44" s="164" t="s">
        <v>1998</v>
      </c>
      <c r="E44" s="164" t="s">
        <v>30</v>
      </c>
      <c r="F44" s="165" t="s">
        <v>2092</v>
      </c>
      <c r="G44" s="163" t="s">
        <v>2000</v>
      </c>
      <c r="H44" s="163" t="s">
        <v>2001</v>
      </c>
      <c r="I44" s="165">
        <v>260248</v>
      </c>
      <c r="J44" s="166" t="s">
        <v>30</v>
      </c>
      <c r="K44" s="164" t="s">
        <v>30</v>
      </c>
      <c r="L44" s="164" t="s">
        <v>2026</v>
      </c>
      <c r="M44" s="164" t="s">
        <v>2080</v>
      </c>
      <c r="N44" s="164" t="s">
        <v>2081</v>
      </c>
      <c r="O44" s="164" t="s">
        <v>2082</v>
      </c>
      <c r="P44" s="164" t="s">
        <v>2082</v>
      </c>
      <c r="Q44" s="164">
        <v>174</v>
      </c>
      <c r="R44" s="164" t="s">
        <v>1994</v>
      </c>
      <c r="S44" s="164" t="s">
        <v>1344</v>
      </c>
      <c r="T44" s="164">
        <v>26</v>
      </c>
      <c r="U44" s="164">
        <v>2</v>
      </c>
      <c r="V44" s="164">
        <v>1</v>
      </c>
      <c r="W44" s="163">
        <v>24</v>
      </c>
      <c r="X44" s="164" t="s">
        <v>1995</v>
      </c>
      <c r="Y44" s="164" t="s">
        <v>80</v>
      </c>
      <c r="Z44" s="164" t="s">
        <v>1996</v>
      </c>
      <c r="AA44" s="169" t="s">
        <v>2043</v>
      </c>
      <c r="AB44" s="164" t="s">
        <v>80</v>
      </c>
    </row>
    <row r="45" spans="1:28" ht="15">
      <c r="A45" s="164" t="s">
        <v>31</v>
      </c>
      <c r="B45" s="163">
        <v>273140</v>
      </c>
      <c r="C45" s="164">
        <v>1365072</v>
      </c>
      <c r="D45" s="164" t="s">
        <v>1998</v>
      </c>
      <c r="E45" s="164" t="s">
        <v>30</v>
      </c>
      <c r="F45" s="165" t="s">
        <v>2093</v>
      </c>
      <c r="G45" s="163" t="s">
        <v>2094</v>
      </c>
      <c r="H45" s="163" t="s">
        <v>2095</v>
      </c>
      <c r="I45" s="165">
        <v>260170</v>
      </c>
      <c r="J45" s="166" t="s">
        <v>30</v>
      </c>
      <c r="K45" s="164" t="s">
        <v>30</v>
      </c>
      <c r="L45" s="164" t="s">
        <v>2026</v>
      </c>
      <c r="M45" s="164" t="s">
        <v>2080</v>
      </c>
      <c r="N45" s="164" t="s">
        <v>2081</v>
      </c>
      <c r="O45" s="164" t="s">
        <v>2082</v>
      </c>
      <c r="P45" s="164" t="s">
        <v>2082</v>
      </c>
      <c r="Q45" s="164">
        <v>174</v>
      </c>
      <c r="R45" s="164" t="s">
        <v>1994</v>
      </c>
      <c r="S45" s="164" t="s">
        <v>1344</v>
      </c>
      <c r="T45" s="164">
        <v>26</v>
      </c>
      <c r="U45" s="164">
        <v>2</v>
      </c>
      <c r="V45" s="164">
        <v>1</v>
      </c>
      <c r="W45" s="163">
        <v>25</v>
      </c>
      <c r="X45" s="164" t="s">
        <v>1995</v>
      </c>
      <c r="Y45" s="164" t="s">
        <v>80</v>
      </c>
      <c r="Z45" s="164" t="s">
        <v>1996</v>
      </c>
      <c r="AA45" s="165" t="s">
        <v>2096</v>
      </c>
      <c r="AB45" s="164" t="s">
        <v>80</v>
      </c>
    </row>
    <row r="47" spans="1:28" s="160" customFormat="1"/>
    <row r="48" spans="1:28" ht="15">
      <c r="A48" s="180" t="s">
        <v>31</v>
      </c>
      <c r="B48" s="181">
        <v>358526</v>
      </c>
      <c r="C48" s="181">
        <v>1347323</v>
      </c>
      <c r="D48" s="181" t="s">
        <v>1984</v>
      </c>
      <c r="E48" s="181" t="s">
        <v>2097</v>
      </c>
      <c r="F48" s="181" t="s">
        <v>2098</v>
      </c>
      <c r="G48" s="181" t="s">
        <v>2099</v>
      </c>
      <c r="H48" s="181" t="s">
        <v>2100</v>
      </c>
      <c r="I48" s="181">
        <v>94109</v>
      </c>
      <c r="J48" s="181" t="s">
        <v>30</v>
      </c>
      <c r="K48" s="181" t="s">
        <v>1989</v>
      </c>
      <c r="L48" s="181" t="s">
        <v>2101</v>
      </c>
      <c r="M48" s="181" t="s">
        <v>2102</v>
      </c>
      <c r="N48" s="186" t="s">
        <v>2103</v>
      </c>
      <c r="O48" s="181" t="s">
        <v>2104</v>
      </c>
      <c r="P48" s="181" t="s">
        <v>2104</v>
      </c>
      <c r="Q48" s="181">
        <v>416</v>
      </c>
      <c r="R48" s="181" t="s">
        <v>2105</v>
      </c>
      <c r="S48" s="181" t="s">
        <v>1344</v>
      </c>
      <c r="T48" s="181">
        <v>43</v>
      </c>
      <c r="U48" s="181">
        <v>4</v>
      </c>
      <c r="V48" s="181">
        <v>1</v>
      </c>
      <c r="W48" s="181" t="s">
        <v>2106</v>
      </c>
      <c r="X48" s="181" t="s">
        <v>1995</v>
      </c>
      <c r="Y48" s="181" t="s">
        <v>80</v>
      </c>
      <c r="Z48" s="181" t="s">
        <v>2107</v>
      </c>
      <c r="AA48" s="181" t="s">
        <v>2108</v>
      </c>
      <c r="AB48" s="181" t="s">
        <v>80</v>
      </c>
    </row>
    <row r="49" spans="1:8" ht="15">
      <c r="A49" s="180" t="s">
        <v>31</v>
      </c>
      <c r="C49" s="181">
        <v>1347323</v>
      </c>
      <c r="D49" s="187" t="s">
        <v>1998</v>
      </c>
      <c r="E49" s="187" t="s">
        <v>30</v>
      </c>
      <c r="F49" s="188" t="s">
        <v>2109</v>
      </c>
      <c r="G49" s="187" t="s">
        <v>2000</v>
      </c>
      <c r="H49" s="187" t="s">
        <v>2001</v>
      </c>
    </row>
    <row r="50" spans="1:8" ht="15">
      <c r="A50" s="180" t="s">
        <v>31</v>
      </c>
      <c r="C50" s="181">
        <v>1347323</v>
      </c>
      <c r="D50" s="187" t="s">
        <v>1998</v>
      </c>
      <c r="E50" s="187" t="s">
        <v>30</v>
      </c>
      <c r="F50" s="189" t="s">
        <v>2110</v>
      </c>
      <c r="G50" t="s">
        <v>2000</v>
      </c>
      <c r="H50" t="s">
        <v>2001</v>
      </c>
    </row>
    <row r="51" spans="1:8" ht="15">
      <c r="A51" s="180" t="s">
        <v>31</v>
      </c>
      <c r="C51" s="181">
        <v>1347323</v>
      </c>
      <c r="D51" s="187" t="s">
        <v>1998</v>
      </c>
      <c r="E51" s="187" t="s">
        <v>30</v>
      </c>
      <c r="F51" s="189" t="s">
        <v>2068</v>
      </c>
      <c r="G51" s="190" t="s">
        <v>2069</v>
      </c>
    </row>
    <row r="52" spans="1:8" ht="15">
      <c r="A52" s="180" t="s">
        <v>31</v>
      </c>
      <c r="C52" s="181">
        <v>1347323</v>
      </c>
      <c r="D52" s="187" t="s">
        <v>1998</v>
      </c>
      <c r="E52" s="187" t="s">
        <v>30</v>
      </c>
      <c r="F52" s="189" t="s">
        <v>2111</v>
      </c>
      <c r="G52" t="s">
        <v>2007</v>
      </c>
      <c r="H52" t="s">
        <v>2032</v>
      </c>
    </row>
    <row r="53" spans="1:8" ht="15">
      <c r="A53" s="180" t="s">
        <v>31</v>
      </c>
      <c r="C53" s="181">
        <v>1347323</v>
      </c>
      <c r="D53" s="187" t="s">
        <v>1998</v>
      </c>
      <c r="E53" s="187" t="s">
        <v>30</v>
      </c>
      <c r="F53" s="189" t="s">
        <v>2112</v>
      </c>
      <c r="G53" t="s">
        <v>2007</v>
      </c>
      <c r="H53" t="s">
        <v>2008</v>
      </c>
    </row>
    <row r="54" spans="1:8" ht="15">
      <c r="A54" s="180" t="s">
        <v>31</v>
      </c>
      <c r="F54" s="189"/>
    </row>
    <row r="55" spans="1:8" ht="15">
      <c r="A55" s="180" t="s">
        <v>31</v>
      </c>
      <c r="F55" s="189"/>
    </row>
    <row r="56" spans="1:8" ht="15">
      <c r="A56" s="180" t="s">
        <v>31</v>
      </c>
      <c r="F56" s="189"/>
    </row>
    <row r="57" spans="1:8" ht="15">
      <c r="A57" s="180" t="s">
        <v>31</v>
      </c>
      <c r="F57" s="189"/>
    </row>
    <row r="58" spans="1:8" ht="15">
      <c r="A58" s="180" t="s">
        <v>31</v>
      </c>
      <c r="F58" s="189"/>
    </row>
    <row r="59" spans="1:8" ht="15">
      <c r="A59" s="180" t="s">
        <v>31</v>
      </c>
      <c r="F59" s="189"/>
    </row>
    <row r="60" spans="1:8" ht="15">
      <c r="A60" s="180" t="s">
        <v>31</v>
      </c>
      <c r="F60" s="189"/>
    </row>
    <row r="61" spans="1:8" ht="15">
      <c r="A61" s="180" t="s">
        <v>31</v>
      </c>
      <c r="F61" s="189"/>
    </row>
    <row r="62" spans="1:8" ht="15">
      <c r="A62" s="180" t="s">
        <v>31</v>
      </c>
      <c r="F62" s="189"/>
    </row>
    <row r="63" spans="1:8" ht="15">
      <c r="A63" s="180" t="s">
        <v>31</v>
      </c>
      <c r="F63" s="189"/>
    </row>
    <row r="64" spans="1:8" ht="15">
      <c r="A64" s="180" t="s">
        <v>31</v>
      </c>
    </row>
    <row r="68" spans="1:28" ht="15">
      <c r="A68" s="183" t="s">
        <v>31</v>
      </c>
      <c r="B68" s="184">
        <v>361506</v>
      </c>
      <c r="C68" s="184">
        <v>1347326</v>
      </c>
      <c r="D68" s="184" t="s">
        <v>2023</v>
      </c>
      <c r="E68" s="184" t="s">
        <v>2097</v>
      </c>
      <c r="F68" s="184" t="s">
        <v>2113</v>
      </c>
      <c r="G68" s="184" t="s">
        <v>2000</v>
      </c>
      <c r="H68" s="184" t="s">
        <v>2114</v>
      </c>
      <c r="I68" s="184">
        <v>94319</v>
      </c>
      <c r="J68" s="184" t="s">
        <v>30</v>
      </c>
      <c r="K68" s="184" t="s">
        <v>1989</v>
      </c>
      <c r="L68" s="184" t="s">
        <v>2101</v>
      </c>
      <c r="M68" s="184" t="s">
        <v>2115</v>
      </c>
      <c r="N68" s="185">
        <v>104139130</v>
      </c>
      <c r="O68" s="184" t="s">
        <v>2116</v>
      </c>
      <c r="P68" s="184" t="s">
        <v>2116</v>
      </c>
      <c r="Q68" s="184">
        <v>416</v>
      </c>
      <c r="R68" s="184" t="s">
        <v>2105</v>
      </c>
      <c r="S68" s="184" t="s">
        <v>1344</v>
      </c>
      <c r="T68" s="184">
        <v>41</v>
      </c>
      <c r="U68" s="184">
        <v>4</v>
      </c>
      <c r="V68" s="184">
        <v>1</v>
      </c>
      <c r="W68" s="184">
        <v>41</v>
      </c>
      <c r="X68" s="184" t="s">
        <v>1995</v>
      </c>
      <c r="Y68" s="184" t="s">
        <v>2117</v>
      </c>
      <c r="Z68" s="184" t="s">
        <v>2107</v>
      </c>
      <c r="AA68" s="184" t="s">
        <v>2083</v>
      </c>
      <c r="AB68" s="184" t="s">
        <v>2117</v>
      </c>
    </row>
    <row r="69" spans="1:28" ht="15">
      <c r="A69" s="180" t="s">
        <v>31</v>
      </c>
      <c r="B69" s="181">
        <v>530920</v>
      </c>
      <c r="C69" s="181" t="s">
        <v>2118</v>
      </c>
      <c r="D69" s="181" t="s">
        <v>2023</v>
      </c>
      <c r="E69" s="181" t="s">
        <v>2097</v>
      </c>
      <c r="F69" s="181" t="s">
        <v>2119</v>
      </c>
      <c r="G69" s="181" t="s">
        <v>2000</v>
      </c>
      <c r="H69" s="181" t="s">
        <v>2120</v>
      </c>
      <c r="I69" s="181">
        <v>98494</v>
      </c>
      <c r="J69" s="181" t="s">
        <v>30</v>
      </c>
      <c r="K69" s="181" t="s">
        <v>1989</v>
      </c>
      <c r="L69" s="181" t="s">
        <v>2121</v>
      </c>
      <c r="M69" s="181" t="s">
        <v>2122</v>
      </c>
      <c r="N69" s="182">
        <v>104139134</v>
      </c>
      <c r="O69" s="181" t="s">
        <v>2123</v>
      </c>
      <c r="P69" s="181" t="s">
        <v>2123</v>
      </c>
      <c r="Q69" s="181">
        <v>416</v>
      </c>
      <c r="R69" s="181" t="s">
        <v>2105</v>
      </c>
      <c r="S69" s="181" t="s">
        <v>1344</v>
      </c>
      <c r="T69" s="181">
        <v>39</v>
      </c>
      <c r="U69" s="181">
        <v>4</v>
      </c>
      <c r="V69" s="181">
        <v>1</v>
      </c>
      <c r="W69" s="181">
        <v>39</v>
      </c>
      <c r="X69" s="181" t="s">
        <v>1995</v>
      </c>
      <c r="Y69" s="181" t="s">
        <v>2117</v>
      </c>
      <c r="Z69" s="181" t="s">
        <v>2107</v>
      </c>
      <c r="AA69" s="181" t="s">
        <v>2124</v>
      </c>
      <c r="AB69" s="181" t="s">
        <v>2117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2"/>
  <sheetViews>
    <sheetView workbookViewId="0">
      <pane ySplit="1" topLeftCell="B2" activePane="bottomLeft" state="frozen"/>
      <selection pane="bottomLeft" activeCell="B41" sqref="B41"/>
    </sheetView>
  </sheetViews>
  <sheetFormatPr defaultColWidth="12.5703125" defaultRowHeight="15.75" customHeight="1"/>
  <cols>
    <col min="2" max="2" width="28.7109375" customWidth="1"/>
  </cols>
  <sheetData>
    <row r="1" spans="1:2" ht="15.75" customHeight="1">
      <c r="A1" s="21" t="s">
        <v>2125</v>
      </c>
      <c r="B1" s="22" t="s">
        <v>2126</v>
      </c>
    </row>
    <row r="2" spans="1:2" ht="12.75">
      <c r="A2" s="23" t="s">
        <v>2127</v>
      </c>
      <c r="B2" s="24" t="s">
        <v>2128</v>
      </c>
    </row>
    <row r="3" spans="1:2" ht="12.75">
      <c r="A3" s="25" t="s">
        <v>2129</v>
      </c>
      <c r="B3" s="26" t="s">
        <v>2130</v>
      </c>
    </row>
    <row r="4" spans="1:2" ht="12.75">
      <c r="A4" s="23" t="s">
        <v>2131</v>
      </c>
      <c r="B4" s="24" t="s">
        <v>2132</v>
      </c>
    </row>
    <row r="5" spans="1:2" ht="12.75">
      <c r="A5" s="25" t="s">
        <v>2133</v>
      </c>
      <c r="B5" s="26" t="s">
        <v>2134</v>
      </c>
    </row>
    <row r="6" spans="1:2" ht="12.75">
      <c r="A6" s="23" t="s">
        <v>2135</v>
      </c>
      <c r="B6" s="24" t="s">
        <v>2136</v>
      </c>
    </row>
    <row r="7" spans="1:2" ht="12.75">
      <c r="A7" s="25" t="s">
        <v>2137</v>
      </c>
      <c r="B7" s="26" t="s">
        <v>2138</v>
      </c>
    </row>
    <row r="8" spans="1:2" ht="12.75">
      <c r="A8" s="23" t="s">
        <v>2139</v>
      </c>
      <c r="B8" s="24" t="s">
        <v>2140</v>
      </c>
    </row>
    <row r="9" spans="1:2" ht="12.75">
      <c r="A9" s="25" t="s">
        <v>2141</v>
      </c>
      <c r="B9" s="26" t="s">
        <v>2142</v>
      </c>
    </row>
    <row r="10" spans="1:2" ht="12.75">
      <c r="A10" s="23" t="s">
        <v>2143</v>
      </c>
      <c r="B10" s="24" t="s">
        <v>2144</v>
      </c>
    </row>
    <row r="11" spans="1:2" ht="12.75">
      <c r="A11" s="25" t="s">
        <v>2145</v>
      </c>
      <c r="B11" s="26" t="s">
        <v>2146</v>
      </c>
    </row>
    <row r="12" spans="1:2" ht="12.75">
      <c r="A12" s="23" t="s">
        <v>2147</v>
      </c>
      <c r="B12" s="24" t="s">
        <v>2148</v>
      </c>
    </row>
    <row r="13" spans="1:2" ht="12.75">
      <c r="A13" s="25" t="s">
        <v>2149</v>
      </c>
      <c r="B13" s="26" t="s">
        <v>2150</v>
      </c>
    </row>
    <row r="14" spans="1:2" ht="12.75">
      <c r="A14" s="23" t="s">
        <v>2151</v>
      </c>
      <c r="B14" s="24" t="s">
        <v>2152</v>
      </c>
    </row>
    <row r="15" spans="1:2" ht="12.75">
      <c r="A15" s="25" t="s">
        <v>2153</v>
      </c>
      <c r="B15" s="26" t="s">
        <v>2154</v>
      </c>
    </row>
    <row r="16" spans="1:2" ht="12.75">
      <c r="A16" s="23" t="s">
        <v>2155</v>
      </c>
      <c r="B16" s="24" t="s">
        <v>2156</v>
      </c>
    </row>
    <row r="17" spans="1:2" ht="12.75">
      <c r="A17" s="25" t="s">
        <v>2157</v>
      </c>
      <c r="B17" s="26" t="s">
        <v>2158</v>
      </c>
    </row>
    <row r="18" spans="1:2" ht="12.75">
      <c r="A18" s="23" t="s">
        <v>2159</v>
      </c>
      <c r="B18" s="24" t="s">
        <v>2160</v>
      </c>
    </row>
    <row r="19" spans="1:2" ht="12.75">
      <c r="A19" s="25" t="s">
        <v>2161</v>
      </c>
      <c r="B19" s="26" t="s">
        <v>2162</v>
      </c>
    </row>
    <row r="20" spans="1:2" ht="12.75">
      <c r="A20" s="23" t="s">
        <v>2163</v>
      </c>
      <c r="B20" s="24" t="s">
        <v>2164</v>
      </c>
    </row>
    <row r="21" spans="1:2" ht="12.75">
      <c r="A21" s="25" t="s">
        <v>2165</v>
      </c>
      <c r="B21" s="26" t="s">
        <v>2166</v>
      </c>
    </row>
    <row r="22" spans="1:2" ht="12.75">
      <c r="A22" s="23" t="s">
        <v>2167</v>
      </c>
      <c r="B22" s="24" t="s">
        <v>2168</v>
      </c>
    </row>
    <row r="23" spans="1:2" ht="12.75">
      <c r="A23" s="25" t="s">
        <v>2169</v>
      </c>
      <c r="B23" s="26" t="s">
        <v>2170</v>
      </c>
    </row>
    <row r="24" spans="1:2" ht="12.75">
      <c r="A24" s="23" t="s">
        <v>2171</v>
      </c>
      <c r="B24" s="24" t="s">
        <v>2172</v>
      </c>
    </row>
    <row r="25" spans="1:2" ht="12.75">
      <c r="A25" s="25" t="s">
        <v>2173</v>
      </c>
      <c r="B25" s="26" t="s">
        <v>2174</v>
      </c>
    </row>
    <row r="26" spans="1:2" ht="12.75">
      <c r="A26" s="23" t="s">
        <v>2175</v>
      </c>
      <c r="B26" s="24" t="s">
        <v>2176</v>
      </c>
    </row>
    <row r="27" spans="1:2" ht="12.75">
      <c r="A27" s="25" t="s">
        <v>2177</v>
      </c>
      <c r="B27" s="26" t="s">
        <v>2178</v>
      </c>
    </row>
    <row r="28" spans="1:2" ht="12.75">
      <c r="A28" s="23" t="s">
        <v>2179</v>
      </c>
      <c r="B28" s="24" t="s">
        <v>2180</v>
      </c>
    </row>
    <row r="29" spans="1:2" ht="12.75">
      <c r="A29" s="25" t="s">
        <v>2181</v>
      </c>
      <c r="B29" s="26" t="s">
        <v>2182</v>
      </c>
    </row>
    <row r="30" spans="1:2" ht="12.75">
      <c r="A30" s="23" t="s">
        <v>2183</v>
      </c>
      <c r="B30" s="24" t="s">
        <v>2184</v>
      </c>
    </row>
    <row r="31" spans="1:2" ht="12.75">
      <c r="A31" s="25" t="s">
        <v>2185</v>
      </c>
      <c r="B31" s="26" t="s">
        <v>2186</v>
      </c>
    </row>
    <row r="32" spans="1:2" ht="12.75">
      <c r="A32" s="23" t="s">
        <v>2187</v>
      </c>
      <c r="B32" s="24" t="s">
        <v>2188</v>
      </c>
    </row>
    <row r="33" spans="1:2" ht="12.75">
      <c r="A33" s="25" t="s">
        <v>2189</v>
      </c>
      <c r="B33" s="26" t="s">
        <v>2190</v>
      </c>
    </row>
    <row r="34" spans="1:2" ht="12.75">
      <c r="A34" s="23" t="s">
        <v>2191</v>
      </c>
      <c r="B34" s="24" t="s">
        <v>2192</v>
      </c>
    </row>
    <row r="35" spans="1:2" ht="12.75">
      <c r="A35" s="25" t="s">
        <v>2193</v>
      </c>
      <c r="B35" s="26" t="s">
        <v>2194</v>
      </c>
    </row>
    <row r="36" spans="1:2" ht="12.75">
      <c r="A36" s="23" t="s">
        <v>2195</v>
      </c>
      <c r="B36" s="24" t="s">
        <v>2196</v>
      </c>
    </row>
    <row r="37" spans="1:2" ht="12.75">
      <c r="A37" s="25" t="s">
        <v>2197</v>
      </c>
      <c r="B37" s="26" t="s">
        <v>2198</v>
      </c>
    </row>
    <row r="38" spans="1:2" ht="12.75">
      <c r="A38" s="23" t="s">
        <v>2199</v>
      </c>
      <c r="B38" s="24" t="s">
        <v>2200</v>
      </c>
    </row>
    <row r="39" spans="1:2" ht="12.75">
      <c r="A39" s="25" t="s">
        <v>2201</v>
      </c>
      <c r="B39" s="26" t="s">
        <v>2202</v>
      </c>
    </row>
    <row r="40" spans="1:2" ht="12.75">
      <c r="A40" s="23" t="s">
        <v>2203</v>
      </c>
      <c r="B40" s="24" t="s">
        <v>2204</v>
      </c>
    </row>
    <row r="41" spans="1:2" ht="12.75">
      <c r="A41" s="25" t="s">
        <v>2205</v>
      </c>
      <c r="B41" s="26" t="s">
        <v>2206</v>
      </c>
    </row>
    <row r="42" spans="1:2" ht="12.75">
      <c r="A42" s="23" t="s">
        <v>2207</v>
      </c>
      <c r="B42" s="24" t="s">
        <v>2208</v>
      </c>
    </row>
    <row r="43" spans="1:2" ht="12.75">
      <c r="A43" s="25" t="s">
        <v>2209</v>
      </c>
      <c r="B43" s="26" t="s">
        <v>2210</v>
      </c>
    </row>
    <row r="44" spans="1:2" ht="12.75">
      <c r="A44" s="23" t="s">
        <v>2211</v>
      </c>
      <c r="B44" s="24" t="s">
        <v>2212</v>
      </c>
    </row>
    <row r="45" spans="1:2" ht="12.75">
      <c r="A45" s="25" t="s">
        <v>2213</v>
      </c>
      <c r="B45" s="26" t="s">
        <v>2214</v>
      </c>
    </row>
    <row r="46" spans="1:2" ht="12.75">
      <c r="A46" s="23" t="s">
        <v>2215</v>
      </c>
      <c r="B46" s="24" t="s">
        <v>2216</v>
      </c>
    </row>
    <row r="47" spans="1:2" ht="12.75">
      <c r="A47" s="25" t="s">
        <v>2217</v>
      </c>
      <c r="B47" s="26" t="s">
        <v>2218</v>
      </c>
    </row>
    <row r="48" spans="1:2" ht="12.75">
      <c r="A48" s="23" t="s">
        <v>2219</v>
      </c>
      <c r="B48" s="24" t="s">
        <v>2220</v>
      </c>
    </row>
    <row r="49" spans="1:2" ht="12.75">
      <c r="A49" s="25" t="s">
        <v>2221</v>
      </c>
      <c r="B49" s="26" t="s">
        <v>2222</v>
      </c>
    </row>
    <row r="50" spans="1:2" ht="12.75">
      <c r="A50" s="23" t="s">
        <v>2223</v>
      </c>
      <c r="B50" s="24" t="s">
        <v>2224</v>
      </c>
    </row>
    <row r="51" spans="1:2" ht="12.75">
      <c r="A51" s="25" t="s">
        <v>2225</v>
      </c>
      <c r="B51" s="26" t="s">
        <v>2226</v>
      </c>
    </row>
    <row r="52" spans="1:2" ht="12.75">
      <c r="A52" s="23" t="s">
        <v>2227</v>
      </c>
      <c r="B52" s="24" t="s">
        <v>2228</v>
      </c>
    </row>
    <row r="53" spans="1:2" ht="12.75">
      <c r="A53" s="25" t="s">
        <v>2229</v>
      </c>
      <c r="B53" s="26" t="s">
        <v>2230</v>
      </c>
    </row>
    <row r="54" spans="1:2" ht="12.75">
      <c r="A54" s="23" t="s">
        <v>2231</v>
      </c>
      <c r="B54" s="24" t="s">
        <v>2232</v>
      </c>
    </row>
    <row r="55" spans="1:2" ht="12.75">
      <c r="A55" s="25" t="s">
        <v>2233</v>
      </c>
      <c r="B55" s="26" t="s">
        <v>2234</v>
      </c>
    </row>
    <row r="56" spans="1:2" ht="12.75">
      <c r="A56" s="23" t="s">
        <v>2235</v>
      </c>
      <c r="B56" s="24" t="s">
        <v>2236</v>
      </c>
    </row>
    <row r="57" spans="1:2" ht="12.75">
      <c r="A57" s="25" t="s">
        <v>2237</v>
      </c>
      <c r="B57" s="26" t="s">
        <v>2238</v>
      </c>
    </row>
    <row r="58" spans="1:2" ht="12.75">
      <c r="A58" s="23" t="s">
        <v>2239</v>
      </c>
      <c r="B58" s="24" t="s">
        <v>2240</v>
      </c>
    </row>
    <row r="59" spans="1:2" ht="12.75">
      <c r="A59" s="25" t="s">
        <v>2241</v>
      </c>
      <c r="B59" s="26" t="s">
        <v>2242</v>
      </c>
    </row>
    <row r="60" spans="1:2" ht="12.75">
      <c r="A60" s="23" t="s">
        <v>2243</v>
      </c>
      <c r="B60" s="24" t="s">
        <v>2244</v>
      </c>
    </row>
    <row r="61" spans="1:2" ht="12.75">
      <c r="A61" s="25" t="s">
        <v>2245</v>
      </c>
      <c r="B61" s="26" t="s">
        <v>2246</v>
      </c>
    </row>
    <row r="62" spans="1:2" ht="12.75">
      <c r="A62" s="27" t="s">
        <v>2247</v>
      </c>
      <c r="B62" s="28" t="s">
        <v>2248</v>
      </c>
    </row>
  </sheetData>
  <pageMargins left="0" right="0" top="0" bottom="0" header="0" footer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7AAE-447B-4D3E-8CA0-A0EC97BC1183}">
  <dimension ref="A1:D35"/>
  <sheetViews>
    <sheetView workbookViewId="0">
      <selection activeCell="D12" sqref="D12"/>
    </sheetView>
  </sheetViews>
  <sheetFormatPr defaultColWidth="9.140625" defaultRowHeight="12.75"/>
  <cols>
    <col min="1" max="1" width="17.85546875" style="92" bestFit="1" customWidth="1"/>
    <col min="2" max="2" width="23.85546875" style="92" bestFit="1" customWidth="1"/>
    <col min="3" max="3" width="18.42578125" style="92" bestFit="1" customWidth="1"/>
    <col min="4" max="4" width="26.42578125" style="92" bestFit="1" customWidth="1"/>
    <col min="5" max="16384" width="9.140625" style="92"/>
  </cols>
  <sheetData>
    <row r="1" spans="1:4">
      <c r="A1" s="91" t="s">
        <v>2249</v>
      </c>
      <c r="B1" s="91" t="s">
        <v>2250</v>
      </c>
      <c r="C1" s="90" t="s">
        <v>2251</v>
      </c>
      <c r="D1" s="91" t="s">
        <v>2252</v>
      </c>
    </row>
    <row r="2" spans="1:4">
      <c r="A2" s="200">
        <v>63</v>
      </c>
      <c r="B2" s="200" t="s">
        <v>2253</v>
      </c>
      <c r="C2" s="90">
        <v>63</v>
      </c>
      <c r="D2" s="91" t="s">
        <v>2254</v>
      </c>
    </row>
    <row r="3" spans="1:4">
      <c r="A3" s="200"/>
      <c r="B3" s="200"/>
      <c r="C3" s="90">
        <v>399</v>
      </c>
      <c r="D3" s="91" t="s">
        <v>2255</v>
      </c>
    </row>
    <row r="4" spans="1:4">
      <c r="A4" s="200"/>
      <c r="B4" s="200"/>
      <c r="C4" s="90">
        <v>400</v>
      </c>
      <c r="D4" s="91" t="s">
        <v>2166</v>
      </c>
    </row>
    <row r="5" spans="1:4">
      <c r="A5" s="200"/>
      <c r="B5" s="200"/>
      <c r="C5" s="90">
        <v>401</v>
      </c>
      <c r="D5" s="91" t="s">
        <v>2256</v>
      </c>
    </row>
    <row r="6" spans="1:4">
      <c r="A6" s="200"/>
      <c r="B6" s="200"/>
      <c r="C6" s="90">
        <v>417</v>
      </c>
      <c r="D6" s="91" t="s">
        <v>2257</v>
      </c>
    </row>
    <row r="7" spans="1:4">
      <c r="A7" s="200"/>
      <c r="B7" s="200"/>
      <c r="C7" s="90">
        <v>214</v>
      </c>
      <c r="D7" s="91" t="s">
        <v>2208</v>
      </c>
    </row>
    <row r="8" spans="1:4">
      <c r="C8" s="93"/>
    </row>
    <row r="9" spans="1:4">
      <c r="A9" s="200">
        <v>472</v>
      </c>
      <c r="B9" s="200" t="s">
        <v>2186</v>
      </c>
      <c r="C9" s="90">
        <v>472</v>
      </c>
      <c r="D9" s="91" t="s">
        <v>2186</v>
      </c>
    </row>
    <row r="10" spans="1:4">
      <c r="A10" s="200"/>
      <c r="B10" s="200"/>
      <c r="C10" s="90">
        <v>473</v>
      </c>
      <c r="D10" s="91" t="s">
        <v>2258</v>
      </c>
    </row>
    <row r="11" spans="1:4">
      <c r="A11" s="200"/>
      <c r="B11" s="200"/>
      <c r="C11" s="90">
        <v>300</v>
      </c>
      <c r="D11" s="91" t="s">
        <v>2152</v>
      </c>
    </row>
    <row r="12" spans="1:4">
      <c r="A12" s="200"/>
      <c r="B12" s="200"/>
      <c r="C12" s="90"/>
      <c r="D12" s="91" t="s">
        <v>2259</v>
      </c>
    </row>
    <row r="13" spans="1:4">
      <c r="A13" s="200"/>
      <c r="B13" s="200"/>
      <c r="C13" s="90"/>
      <c r="D13" s="91" t="s">
        <v>2246</v>
      </c>
    </row>
    <row r="14" spans="1:4">
      <c r="C14" s="93"/>
    </row>
    <row r="15" spans="1:4">
      <c r="A15" s="200">
        <v>416</v>
      </c>
      <c r="B15" s="200" t="s">
        <v>2188</v>
      </c>
      <c r="C15" s="90">
        <v>416</v>
      </c>
      <c r="D15" s="91" t="s">
        <v>2188</v>
      </c>
    </row>
    <row r="16" spans="1:4">
      <c r="A16" s="200"/>
      <c r="B16" s="200"/>
      <c r="C16" s="90">
        <v>497</v>
      </c>
      <c r="D16" s="91" t="s">
        <v>2140</v>
      </c>
    </row>
    <row r="17" spans="1:4">
      <c r="C17" s="93"/>
    </row>
    <row r="18" spans="1:4">
      <c r="A18" s="200">
        <v>226</v>
      </c>
      <c r="B18" s="200" t="s">
        <v>2134</v>
      </c>
      <c r="C18" s="90">
        <v>226</v>
      </c>
      <c r="D18" s="91" t="s">
        <v>2134</v>
      </c>
    </row>
    <row r="19" spans="1:4">
      <c r="A19" s="200"/>
      <c r="B19" s="200"/>
      <c r="C19" s="90">
        <v>130</v>
      </c>
      <c r="D19" s="91" t="s">
        <v>2260</v>
      </c>
    </row>
    <row r="20" spans="1:4">
      <c r="A20" s="200"/>
      <c r="B20" s="200"/>
      <c r="C20" s="90">
        <v>128</v>
      </c>
      <c r="D20" s="91" t="s">
        <v>2261</v>
      </c>
    </row>
    <row r="21" spans="1:4">
      <c r="A21" s="200"/>
      <c r="B21" s="200"/>
      <c r="C21" s="90">
        <v>514</v>
      </c>
      <c r="D21" s="91" t="s">
        <v>2262</v>
      </c>
    </row>
    <row r="22" spans="1:4">
      <c r="A22" s="200"/>
      <c r="B22" s="200"/>
      <c r="C22" s="90">
        <v>262</v>
      </c>
      <c r="D22" s="91" t="s">
        <v>2263</v>
      </c>
    </row>
    <row r="23" spans="1:4">
      <c r="A23" s="200"/>
      <c r="B23" s="200"/>
      <c r="C23" s="90">
        <v>332</v>
      </c>
      <c r="D23" s="91" t="s">
        <v>2264</v>
      </c>
    </row>
    <row r="24" spans="1:4">
      <c r="C24" s="93"/>
    </row>
    <row r="25" spans="1:4">
      <c r="A25" s="200">
        <v>174</v>
      </c>
      <c r="B25" s="200" t="s">
        <v>2128</v>
      </c>
      <c r="C25" s="90">
        <v>174</v>
      </c>
      <c r="D25" s="91" t="s">
        <v>2128</v>
      </c>
    </row>
    <row r="26" spans="1:4">
      <c r="A26" s="200"/>
      <c r="B26" s="200"/>
      <c r="C26" s="90">
        <v>129</v>
      </c>
      <c r="D26" s="91" t="s">
        <v>2265</v>
      </c>
    </row>
    <row r="27" spans="1:4">
      <c r="A27" s="200"/>
      <c r="B27" s="200"/>
      <c r="C27" s="90">
        <v>123</v>
      </c>
      <c r="D27" s="91" t="s">
        <v>2150</v>
      </c>
    </row>
    <row r="28" spans="1:4">
      <c r="C28" s="93"/>
    </row>
    <row r="29" spans="1:4">
      <c r="A29" s="200">
        <v>456</v>
      </c>
      <c r="B29" s="200" t="s">
        <v>2204</v>
      </c>
      <c r="C29" s="90">
        <v>456</v>
      </c>
      <c r="D29" s="91" t="s">
        <v>2204</v>
      </c>
    </row>
    <row r="30" spans="1:4">
      <c r="A30" s="200"/>
      <c r="B30" s="200"/>
      <c r="C30" s="90">
        <v>457</v>
      </c>
      <c r="D30" s="91" t="s">
        <v>2266</v>
      </c>
    </row>
    <row r="31" spans="1:4">
      <c r="A31" s="200"/>
      <c r="B31" s="200"/>
      <c r="C31" s="90">
        <v>517</v>
      </c>
      <c r="D31" s="91" t="s">
        <v>2267</v>
      </c>
    </row>
    <row r="32" spans="1:4">
      <c r="C32" s="93"/>
    </row>
    <row r="33" spans="1:4">
      <c r="A33" s="200">
        <v>531</v>
      </c>
      <c r="B33" s="200" t="s">
        <v>2136</v>
      </c>
      <c r="C33" s="90">
        <v>531</v>
      </c>
      <c r="D33" s="91" t="s">
        <v>2136</v>
      </c>
    </row>
    <row r="34" spans="1:4">
      <c r="A34" s="200"/>
      <c r="B34" s="200"/>
      <c r="C34" s="90">
        <v>534</v>
      </c>
      <c r="D34" s="91" t="s">
        <v>2268</v>
      </c>
    </row>
    <row r="35" spans="1:4">
      <c r="A35" s="200"/>
      <c r="B35" s="200"/>
      <c r="C35" s="90">
        <v>537</v>
      </c>
      <c r="D35" s="91" t="s">
        <v>2244</v>
      </c>
    </row>
  </sheetData>
  <mergeCells count="14">
    <mergeCell ref="A33:A35"/>
    <mergeCell ref="B33:B35"/>
    <mergeCell ref="A18:A23"/>
    <mergeCell ref="B18:B23"/>
    <mergeCell ref="A25:A27"/>
    <mergeCell ref="B25:B27"/>
    <mergeCell ref="A29:A31"/>
    <mergeCell ref="B29:B31"/>
    <mergeCell ref="A2:A7"/>
    <mergeCell ref="B2:B7"/>
    <mergeCell ref="A9:A13"/>
    <mergeCell ref="B9:B13"/>
    <mergeCell ref="A15:A16"/>
    <mergeCell ref="B15:B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2F7B-ADF1-4F91-8BB1-81385B7B1386}">
  <dimension ref="A1:K56"/>
  <sheetViews>
    <sheetView workbookViewId="0">
      <pane ySplit="2" topLeftCell="A7" activePane="bottomLeft" state="frozen"/>
      <selection pane="bottomLeft" activeCell="F8" sqref="F8"/>
    </sheetView>
  </sheetViews>
  <sheetFormatPr defaultRowHeight="12.75"/>
  <cols>
    <col min="1" max="1" width="3" style="123" customWidth="1"/>
    <col min="2" max="2" width="11.140625" customWidth="1"/>
    <col min="3" max="3" width="9.85546875" customWidth="1"/>
    <col min="4" max="4" width="10.7109375" customWidth="1"/>
    <col min="5" max="5" width="24.140625" customWidth="1"/>
    <col min="6" max="6" width="55.140625" customWidth="1"/>
    <col min="7" max="7" width="19.28515625" customWidth="1"/>
    <col min="8" max="9" width="27.28515625" customWidth="1"/>
    <col min="10" max="10" width="17.42578125" customWidth="1"/>
    <col min="11" max="11" width="3.7109375" style="123" customWidth="1"/>
  </cols>
  <sheetData>
    <row r="1" spans="2:10" s="123" customFormat="1"/>
    <row r="2" spans="2:10" ht="14.25">
      <c r="B2" s="119" t="s">
        <v>0</v>
      </c>
      <c r="C2" s="120" t="s">
        <v>2269</v>
      </c>
      <c r="D2" s="120" t="s">
        <v>2270</v>
      </c>
      <c r="E2" s="120" t="s">
        <v>2271</v>
      </c>
      <c r="F2" s="120" t="s">
        <v>2272</v>
      </c>
      <c r="G2" s="120" t="s">
        <v>2273</v>
      </c>
      <c r="H2" s="120" t="s">
        <v>2274</v>
      </c>
      <c r="I2" s="120" t="s">
        <v>2275</v>
      </c>
      <c r="J2" s="120" t="s">
        <v>20</v>
      </c>
    </row>
    <row r="3" spans="2:10" ht="27.75">
      <c r="B3" s="121" t="s">
        <v>2276</v>
      </c>
      <c r="C3" s="122">
        <v>323</v>
      </c>
      <c r="D3" s="122">
        <v>2355</v>
      </c>
      <c r="E3" s="122" t="s">
        <v>2277</v>
      </c>
      <c r="F3" s="122" t="s">
        <v>2278</v>
      </c>
      <c r="G3" s="122" t="s">
        <v>119</v>
      </c>
      <c r="H3" s="122" t="s">
        <v>119</v>
      </c>
      <c r="I3" s="128">
        <v>45888</v>
      </c>
      <c r="J3" s="122"/>
    </row>
    <row r="4" spans="2:10" ht="41.25">
      <c r="B4" s="121" t="s">
        <v>2279</v>
      </c>
      <c r="C4" s="122">
        <v>323</v>
      </c>
      <c r="D4" s="122">
        <v>2292</v>
      </c>
      <c r="E4" s="122" t="s">
        <v>2280</v>
      </c>
      <c r="F4" s="124" t="s">
        <v>2281</v>
      </c>
      <c r="G4" s="122" t="s">
        <v>2282</v>
      </c>
      <c r="H4" s="122" t="s">
        <v>2283</v>
      </c>
      <c r="I4" s="128">
        <v>45887</v>
      </c>
      <c r="J4" s="122"/>
    </row>
    <row r="5" spans="2:10" ht="27.75">
      <c r="B5" s="121" t="s">
        <v>2284</v>
      </c>
      <c r="C5" s="122">
        <v>323</v>
      </c>
      <c r="D5" s="122">
        <v>2297</v>
      </c>
      <c r="E5" s="122" t="s">
        <v>2285</v>
      </c>
      <c r="F5" s="124" t="s">
        <v>2286</v>
      </c>
      <c r="G5" s="122" t="s">
        <v>2287</v>
      </c>
      <c r="H5" s="122" t="s">
        <v>2288</v>
      </c>
      <c r="I5" s="128">
        <v>45894</v>
      </c>
      <c r="J5" s="122"/>
    </row>
    <row r="6" spans="2:10" ht="27.75">
      <c r="B6" s="121" t="s">
        <v>2289</v>
      </c>
      <c r="C6" s="122">
        <v>323</v>
      </c>
      <c r="D6" s="122">
        <v>2343</v>
      </c>
      <c r="E6" s="122" t="s">
        <v>2290</v>
      </c>
      <c r="F6" s="124" t="s">
        <v>2291</v>
      </c>
      <c r="G6" s="122" t="s">
        <v>2292</v>
      </c>
      <c r="H6" s="122" t="s">
        <v>2293</v>
      </c>
      <c r="I6" s="128">
        <v>45891</v>
      </c>
      <c r="J6" s="122"/>
    </row>
    <row r="7" spans="2:10" ht="41.25">
      <c r="B7" s="121" t="s">
        <v>2294</v>
      </c>
      <c r="C7" s="122">
        <v>323</v>
      </c>
      <c r="D7" s="122">
        <v>2307</v>
      </c>
      <c r="E7" s="122" t="s">
        <v>2295</v>
      </c>
      <c r="F7" s="124" t="s">
        <v>2296</v>
      </c>
      <c r="G7" s="122" t="s">
        <v>2297</v>
      </c>
      <c r="H7" s="122" t="s">
        <v>2298</v>
      </c>
      <c r="I7" s="128">
        <v>45896</v>
      </c>
      <c r="J7" s="122"/>
    </row>
    <row r="8" spans="2:10" ht="27.75">
      <c r="B8" s="121" t="s">
        <v>2299</v>
      </c>
      <c r="C8" s="122">
        <v>323</v>
      </c>
      <c r="D8" s="122">
        <v>2302</v>
      </c>
      <c r="E8" s="122" t="s">
        <v>2300</v>
      </c>
      <c r="F8" s="124" t="s">
        <v>2301</v>
      </c>
      <c r="G8" s="122" t="s">
        <v>2302</v>
      </c>
      <c r="H8" s="122" t="s">
        <v>2303</v>
      </c>
      <c r="I8" s="128">
        <v>45894</v>
      </c>
      <c r="J8" s="122"/>
    </row>
    <row r="9" spans="2:10" ht="27.75">
      <c r="B9" s="121" t="s">
        <v>2304</v>
      </c>
      <c r="C9" s="122">
        <v>323</v>
      </c>
      <c r="D9" s="122">
        <v>2312</v>
      </c>
      <c r="E9" s="122" t="s">
        <v>2305</v>
      </c>
      <c r="F9" s="124" t="s">
        <v>2306</v>
      </c>
      <c r="G9" s="122" t="s">
        <v>2287</v>
      </c>
      <c r="H9" s="122" t="s">
        <v>2307</v>
      </c>
      <c r="I9" s="128">
        <v>45890</v>
      </c>
      <c r="J9" s="122"/>
    </row>
    <row r="10" spans="2:10" ht="27.75">
      <c r="B10" s="121" t="s">
        <v>2308</v>
      </c>
      <c r="C10" s="122">
        <v>323</v>
      </c>
      <c r="D10" s="122">
        <v>2315</v>
      </c>
      <c r="E10" s="122" t="s">
        <v>2309</v>
      </c>
      <c r="F10" s="124" t="s">
        <v>2310</v>
      </c>
      <c r="G10" s="122" t="s">
        <v>2287</v>
      </c>
      <c r="H10" s="122" t="s">
        <v>2311</v>
      </c>
      <c r="I10" s="128">
        <v>45894</v>
      </c>
      <c r="J10" s="122"/>
    </row>
    <row r="11" spans="2:10" ht="27.75">
      <c r="B11" s="121" t="s">
        <v>2312</v>
      </c>
      <c r="C11" s="122">
        <v>323</v>
      </c>
      <c r="D11" s="122">
        <v>2365</v>
      </c>
      <c r="E11" s="122" t="s">
        <v>2313</v>
      </c>
      <c r="F11" s="124" t="s">
        <v>2314</v>
      </c>
      <c r="G11" s="122" t="s">
        <v>2287</v>
      </c>
      <c r="H11" s="122" t="s">
        <v>2315</v>
      </c>
      <c r="I11" s="128">
        <v>45888</v>
      </c>
      <c r="J11" s="122"/>
    </row>
    <row r="12" spans="2:10" ht="30" customHeight="1">
      <c r="B12" s="121" t="s">
        <v>2316</v>
      </c>
      <c r="C12" s="122">
        <v>323</v>
      </c>
      <c r="D12" s="122">
        <v>2404</v>
      </c>
      <c r="E12" s="122" t="s">
        <v>2317</v>
      </c>
      <c r="F12" s="124" t="s">
        <v>2318</v>
      </c>
      <c r="G12" s="122" t="s">
        <v>2319</v>
      </c>
      <c r="H12" s="122" t="s">
        <v>2320</v>
      </c>
      <c r="I12" s="128">
        <v>45884</v>
      </c>
      <c r="J12" s="122"/>
    </row>
    <row r="13" spans="2:10" ht="15">
      <c r="B13" s="121" t="s">
        <v>2321</v>
      </c>
      <c r="C13" s="122">
        <v>323</v>
      </c>
      <c r="D13" s="122">
        <v>2329</v>
      </c>
      <c r="E13" s="122" t="s">
        <v>2322</v>
      </c>
      <c r="F13" s="126" t="s">
        <v>2323</v>
      </c>
      <c r="G13" s="122" t="s">
        <v>2319</v>
      </c>
      <c r="H13" s="122" t="s">
        <v>2324</v>
      </c>
      <c r="I13" s="128">
        <v>45882</v>
      </c>
      <c r="J13" s="122"/>
    </row>
    <row r="14" spans="2:10" ht="27.75">
      <c r="B14" s="121" t="s">
        <v>2325</v>
      </c>
      <c r="C14" s="122">
        <v>323</v>
      </c>
      <c r="D14" s="122">
        <v>2301</v>
      </c>
      <c r="E14" s="122" t="s">
        <v>2313</v>
      </c>
      <c r="F14" s="122" t="s">
        <v>2326</v>
      </c>
      <c r="G14" s="122" t="s">
        <v>2287</v>
      </c>
      <c r="H14" s="122" t="s">
        <v>2327</v>
      </c>
      <c r="I14" s="128">
        <v>45888</v>
      </c>
      <c r="J14" s="122"/>
    </row>
    <row r="15" spans="2:10" ht="15">
      <c r="B15" s="121" t="s">
        <v>2328</v>
      </c>
      <c r="C15" s="122">
        <v>323</v>
      </c>
      <c r="D15" s="122">
        <v>2331</v>
      </c>
      <c r="E15" s="122" t="s">
        <v>2329</v>
      </c>
      <c r="F15" s="127" t="s">
        <v>2330</v>
      </c>
      <c r="G15" s="122" t="s">
        <v>2287</v>
      </c>
      <c r="H15" s="122" t="s">
        <v>2331</v>
      </c>
      <c r="I15" s="128">
        <v>45883</v>
      </c>
      <c r="J15" s="122"/>
    </row>
    <row r="16" spans="2:10" ht="15">
      <c r="B16" s="121" t="s">
        <v>2332</v>
      </c>
      <c r="C16" s="122">
        <v>323</v>
      </c>
      <c r="D16" s="122">
        <v>2335</v>
      </c>
      <c r="E16" s="122" t="s">
        <v>2333</v>
      </c>
      <c r="F16" s="127" t="s">
        <v>2334</v>
      </c>
      <c r="G16" s="122" t="s">
        <v>2287</v>
      </c>
      <c r="H16" s="122" t="s">
        <v>2335</v>
      </c>
      <c r="I16" s="128">
        <v>45883</v>
      </c>
      <c r="J16" s="122"/>
    </row>
    <row r="17" spans="2:10" ht="27.75">
      <c r="B17" s="121" t="s">
        <v>2336</v>
      </c>
      <c r="C17" s="122">
        <v>323</v>
      </c>
      <c r="D17" s="122">
        <v>2310</v>
      </c>
      <c r="E17" s="122" t="s">
        <v>2337</v>
      </c>
      <c r="F17" s="125" t="s">
        <v>2338</v>
      </c>
      <c r="G17" s="122" t="s">
        <v>2287</v>
      </c>
      <c r="H17" s="122" t="s">
        <v>2339</v>
      </c>
      <c r="I17" s="128">
        <v>45888</v>
      </c>
      <c r="J17" s="122"/>
    </row>
    <row r="18" spans="2:10" ht="27.75">
      <c r="B18" s="121" t="s">
        <v>2340</v>
      </c>
      <c r="C18" s="122">
        <v>323</v>
      </c>
      <c r="D18" s="122">
        <v>2306</v>
      </c>
      <c r="E18" s="122" t="s">
        <v>2341</v>
      </c>
      <c r="F18" s="122" t="s">
        <v>2342</v>
      </c>
      <c r="G18" s="122" t="s">
        <v>119</v>
      </c>
      <c r="H18" s="122" t="s">
        <v>119</v>
      </c>
      <c r="I18" s="128">
        <v>45887</v>
      </c>
      <c r="J18" s="122"/>
    </row>
    <row r="19" spans="2:10" ht="27.75">
      <c r="B19" s="121" t="s">
        <v>2343</v>
      </c>
      <c r="C19" s="122">
        <v>323</v>
      </c>
      <c r="D19" s="122">
        <v>2333</v>
      </c>
      <c r="E19" s="122" t="s">
        <v>2344</v>
      </c>
      <c r="F19" s="124" t="s">
        <v>2345</v>
      </c>
      <c r="G19" s="122" t="s">
        <v>2287</v>
      </c>
      <c r="H19" s="122" t="s">
        <v>2346</v>
      </c>
      <c r="I19" s="128">
        <v>45889</v>
      </c>
      <c r="J19" s="122"/>
    </row>
    <row r="20" spans="2:10" ht="27.75">
      <c r="B20" s="121" t="s">
        <v>2347</v>
      </c>
      <c r="C20" s="122">
        <v>323</v>
      </c>
      <c r="D20" s="122">
        <v>2311</v>
      </c>
      <c r="E20" s="122" t="s">
        <v>2348</v>
      </c>
      <c r="F20" s="124" t="s">
        <v>2349</v>
      </c>
      <c r="G20" s="122" t="s">
        <v>2287</v>
      </c>
      <c r="H20" s="122" t="s">
        <v>2350</v>
      </c>
      <c r="I20" s="128">
        <v>45889</v>
      </c>
      <c r="J20" s="122"/>
    </row>
    <row r="21" spans="2:10" ht="27.75">
      <c r="B21" s="121" t="s">
        <v>2351</v>
      </c>
      <c r="C21" s="122">
        <v>323</v>
      </c>
      <c r="D21" s="122">
        <v>2316</v>
      </c>
      <c r="E21" s="122" t="s">
        <v>2352</v>
      </c>
      <c r="F21" s="124" t="s">
        <v>2353</v>
      </c>
      <c r="G21" s="122" t="s">
        <v>2287</v>
      </c>
      <c r="H21" s="122" t="s">
        <v>2354</v>
      </c>
      <c r="I21" s="128">
        <v>45896</v>
      </c>
      <c r="J21" s="122"/>
    </row>
    <row r="22" spans="2:10" ht="27.75">
      <c r="B22" s="121" t="s">
        <v>2355</v>
      </c>
      <c r="C22" s="122">
        <v>323</v>
      </c>
      <c r="D22" s="122">
        <v>2341</v>
      </c>
      <c r="E22" s="122" t="s">
        <v>2356</v>
      </c>
      <c r="F22" s="124" t="s">
        <v>2357</v>
      </c>
      <c r="G22" s="122" t="s">
        <v>2292</v>
      </c>
      <c r="H22" s="122" t="s">
        <v>2358</v>
      </c>
      <c r="I22" s="128">
        <v>45890</v>
      </c>
      <c r="J22" s="122"/>
    </row>
    <row r="23" spans="2:10" ht="27.75">
      <c r="B23" s="121" t="s">
        <v>2359</v>
      </c>
      <c r="C23" s="122">
        <v>323</v>
      </c>
      <c r="D23" s="122">
        <v>2298</v>
      </c>
      <c r="E23" s="122" t="s">
        <v>2280</v>
      </c>
      <c r="F23" s="124" t="s">
        <v>2360</v>
      </c>
      <c r="G23" s="122" t="s">
        <v>2287</v>
      </c>
      <c r="H23" s="122" t="s">
        <v>2361</v>
      </c>
      <c r="I23" s="128">
        <v>45887</v>
      </c>
      <c r="J23" s="122"/>
    </row>
    <row r="24" spans="2:10" ht="27.75">
      <c r="B24" s="121" t="s">
        <v>2362</v>
      </c>
      <c r="C24" s="122">
        <v>323</v>
      </c>
      <c r="D24" s="122">
        <v>2334</v>
      </c>
      <c r="E24" s="122" t="s">
        <v>2363</v>
      </c>
      <c r="F24" s="124" t="s">
        <v>2364</v>
      </c>
      <c r="G24" s="122" t="s">
        <v>2287</v>
      </c>
      <c r="H24" s="122" t="s">
        <v>2365</v>
      </c>
      <c r="I24" s="128">
        <v>45891</v>
      </c>
      <c r="J24" s="122"/>
    </row>
    <row r="25" spans="2:10" ht="27.75">
      <c r="B25" s="121" t="s">
        <v>2366</v>
      </c>
      <c r="C25" s="122">
        <v>323</v>
      </c>
      <c r="D25" s="122">
        <v>2291</v>
      </c>
      <c r="E25" s="122" t="s">
        <v>2367</v>
      </c>
      <c r="F25" s="124" t="s">
        <v>2368</v>
      </c>
      <c r="G25" s="122" t="s">
        <v>2287</v>
      </c>
      <c r="H25" s="122" t="s">
        <v>2369</v>
      </c>
      <c r="I25" s="128">
        <v>45884</v>
      </c>
      <c r="J25" s="122"/>
    </row>
    <row r="26" spans="2:10" ht="27.75">
      <c r="B26" s="121" t="s">
        <v>2370</v>
      </c>
      <c r="C26" s="122">
        <v>323</v>
      </c>
      <c r="D26" s="122">
        <v>2349</v>
      </c>
      <c r="E26" s="122" t="s">
        <v>2371</v>
      </c>
      <c r="F26" s="124" t="s">
        <v>2372</v>
      </c>
      <c r="G26" s="122" t="s">
        <v>2292</v>
      </c>
      <c r="H26" s="122" t="s">
        <v>2373</v>
      </c>
      <c r="I26" s="128">
        <v>45888</v>
      </c>
      <c r="J26" s="122"/>
    </row>
    <row r="27" spans="2:10" ht="27.75">
      <c r="B27" s="121" t="s">
        <v>2374</v>
      </c>
      <c r="C27" s="122">
        <v>323</v>
      </c>
      <c r="D27" s="122">
        <v>2345</v>
      </c>
      <c r="E27" s="122" t="s">
        <v>2375</v>
      </c>
      <c r="F27" s="124" t="s">
        <v>2376</v>
      </c>
      <c r="G27" s="122" t="s">
        <v>2292</v>
      </c>
      <c r="H27" s="122" t="s">
        <v>2377</v>
      </c>
      <c r="I27" s="128">
        <v>45890</v>
      </c>
      <c r="J27" s="122"/>
    </row>
    <row r="28" spans="2:10" ht="27.75">
      <c r="B28" s="121" t="s">
        <v>2378</v>
      </c>
      <c r="C28" s="122">
        <v>323</v>
      </c>
      <c r="D28" s="122">
        <v>2332</v>
      </c>
      <c r="E28" s="122" t="s">
        <v>2280</v>
      </c>
      <c r="F28" s="122" t="s">
        <v>2379</v>
      </c>
      <c r="G28" s="122" t="s">
        <v>2287</v>
      </c>
      <c r="H28" s="122" t="s">
        <v>2380</v>
      </c>
      <c r="I28" s="128">
        <v>45887</v>
      </c>
      <c r="J28" s="122"/>
    </row>
    <row r="29" spans="2:10" ht="27.75">
      <c r="B29" s="121" t="s">
        <v>2381</v>
      </c>
      <c r="C29" s="122">
        <v>323</v>
      </c>
      <c r="D29" s="122">
        <v>2305</v>
      </c>
      <c r="E29" s="122" t="s">
        <v>2382</v>
      </c>
      <c r="F29" s="124" t="s">
        <v>2383</v>
      </c>
      <c r="G29" s="122" t="s">
        <v>2287</v>
      </c>
      <c r="H29" s="122" t="s">
        <v>2384</v>
      </c>
      <c r="I29" s="128">
        <v>45889</v>
      </c>
      <c r="J29" s="122"/>
    </row>
    <row r="30" spans="2:10" ht="15">
      <c r="B30" s="121" t="s">
        <v>2385</v>
      </c>
      <c r="C30" s="122">
        <v>323</v>
      </c>
      <c r="D30" s="122">
        <v>2344</v>
      </c>
      <c r="E30" s="122" t="s">
        <v>2386</v>
      </c>
      <c r="F30" s="127" t="s">
        <v>2387</v>
      </c>
      <c r="G30" s="122" t="s">
        <v>2287</v>
      </c>
      <c r="H30" s="122" t="s">
        <v>2388</v>
      </c>
      <c r="I30" s="128">
        <v>45882</v>
      </c>
      <c r="J30" s="122"/>
    </row>
    <row r="31" spans="2:10" ht="27.75">
      <c r="B31" s="121" t="s">
        <v>2389</v>
      </c>
      <c r="C31" s="122">
        <v>323</v>
      </c>
      <c r="D31" s="122">
        <v>2317</v>
      </c>
      <c r="E31" s="122" t="s">
        <v>2382</v>
      </c>
      <c r="F31" s="124" t="s">
        <v>2390</v>
      </c>
      <c r="G31" s="122" t="s">
        <v>2287</v>
      </c>
      <c r="H31" s="122" t="s">
        <v>2391</v>
      </c>
      <c r="I31" s="128">
        <v>45889</v>
      </c>
      <c r="J31" s="122"/>
    </row>
    <row r="32" spans="2:10" ht="27.75">
      <c r="B32" s="121" t="s">
        <v>2392</v>
      </c>
      <c r="C32" s="122">
        <v>323</v>
      </c>
      <c r="D32" s="122">
        <v>2323</v>
      </c>
      <c r="E32" s="122" t="s">
        <v>2382</v>
      </c>
      <c r="F32" s="124" t="s">
        <v>2393</v>
      </c>
      <c r="G32" s="122" t="s">
        <v>2287</v>
      </c>
      <c r="H32" s="122" t="s">
        <v>2394</v>
      </c>
      <c r="I32" s="128">
        <v>45889</v>
      </c>
      <c r="J32" s="122"/>
    </row>
    <row r="33" spans="2:10" ht="27.75">
      <c r="B33" s="121" t="s">
        <v>2395</v>
      </c>
      <c r="C33" s="122">
        <v>323</v>
      </c>
      <c r="D33" s="122">
        <v>2328</v>
      </c>
      <c r="E33" s="122" t="s">
        <v>2396</v>
      </c>
      <c r="F33" s="124" t="s">
        <v>2397</v>
      </c>
      <c r="G33" s="122" t="s">
        <v>2319</v>
      </c>
      <c r="H33" s="122" t="s">
        <v>2398</v>
      </c>
      <c r="I33" s="128">
        <v>45891</v>
      </c>
      <c r="J33" s="122"/>
    </row>
    <row r="34" spans="2:10" ht="27.75">
      <c r="B34" s="121" t="s">
        <v>2399</v>
      </c>
      <c r="C34" s="122">
        <v>323</v>
      </c>
      <c r="D34" s="122">
        <v>2294</v>
      </c>
      <c r="E34" s="122" t="s">
        <v>2400</v>
      </c>
      <c r="F34" s="124" t="s">
        <v>2401</v>
      </c>
      <c r="G34" s="122" t="s">
        <v>2287</v>
      </c>
      <c r="H34" s="122" t="s">
        <v>2402</v>
      </c>
      <c r="I34" s="128">
        <v>45891</v>
      </c>
      <c r="J34" s="122"/>
    </row>
    <row r="35" spans="2:10" ht="27.75">
      <c r="B35" s="121" t="s">
        <v>2403</v>
      </c>
      <c r="C35" s="122">
        <v>323</v>
      </c>
      <c r="D35" s="122">
        <v>2295</v>
      </c>
      <c r="E35" s="122" t="s">
        <v>2367</v>
      </c>
      <c r="F35" s="122" t="s">
        <v>2404</v>
      </c>
      <c r="G35" s="122" t="s">
        <v>2287</v>
      </c>
      <c r="H35" s="122" t="s">
        <v>2405</v>
      </c>
      <c r="I35" s="128">
        <v>45884</v>
      </c>
      <c r="J35" s="122"/>
    </row>
    <row r="36" spans="2:10" ht="27.75">
      <c r="B36" s="121" t="s">
        <v>2406</v>
      </c>
      <c r="C36" s="122">
        <v>323</v>
      </c>
      <c r="D36" s="122">
        <v>2346</v>
      </c>
      <c r="E36" s="122" t="s">
        <v>2407</v>
      </c>
      <c r="F36" s="122" t="s">
        <v>2408</v>
      </c>
      <c r="G36" s="122" t="s">
        <v>2287</v>
      </c>
      <c r="H36" s="122" t="s">
        <v>2409</v>
      </c>
      <c r="I36" s="128">
        <v>45888</v>
      </c>
      <c r="J36" s="122"/>
    </row>
    <row r="37" spans="2:10" ht="27.75">
      <c r="B37" s="121" t="s">
        <v>2410</v>
      </c>
      <c r="C37" s="122">
        <v>323</v>
      </c>
      <c r="D37" s="122">
        <v>2296</v>
      </c>
      <c r="E37" s="122" t="s">
        <v>2411</v>
      </c>
      <c r="F37" s="122" t="s">
        <v>2412</v>
      </c>
      <c r="G37" s="122" t="s">
        <v>2292</v>
      </c>
      <c r="H37" s="122" t="s">
        <v>2413</v>
      </c>
      <c r="I37" s="128">
        <v>45895</v>
      </c>
      <c r="J37" s="122"/>
    </row>
    <row r="38" spans="2:10" ht="27.75">
      <c r="B38" s="121" t="s">
        <v>2414</v>
      </c>
      <c r="C38" s="122">
        <v>323</v>
      </c>
      <c r="D38" s="122">
        <v>2309</v>
      </c>
      <c r="E38" s="122" t="s">
        <v>2415</v>
      </c>
      <c r="F38" s="122" t="s">
        <v>2416</v>
      </c>
      <c r="G38" s="122" t="s">
        <v>2292</v>
      </c>
      <c r="H38" s="122" t="s">
        <v>2417</v>
      </c>
      <c r="I38" s="128">
        <v>45890</v>
      </c>
      <c r="J38" s="122"/>
    </row>
    <row r="39" spans="2:10" ht="41.25">
      <c r="B39" s="121" t="s">
        <v>2418</v>
      </c>
      <c r="C39" s="122">
        <v>323</v>
      </c>
      <c r="D39" s="122">
        <v>2318</v>
      </c>
      <c r="E39" s="122" t="s">
        <v>2415</v>
      </c>
      <c r="F39" s="122" t="s">
        <v>2419</v>
      </c>
      <c r="G39" s="122" t="s">
        <v>2292</v>
      </c>
      <c r="H39" s="122" t="s">
        <v>2420</v>
      </c>
      <c r="I39" s="128">
        <v>45890</v>
      </c>
      <c r="J39" s="122"/>
    </row>
    <row r="40" spans="2:10" ht="27.75">
      <c r="B40" s="121" t="s">
        <v>2421</v>
      </c>
      <c r="C40" s="122">
        <v>323</v>
      </c>
      <c r="D40" s="122">
        <v>2324</v>
      </c>
      <c r="E40" s="122" t="s">
        <v>2367</v>
      </c>
      <c r="F40" s="122" t="s">
        <v>2422</v>
      </c>
      <c r="G40" s="122" t="s">
        <v>2287</v>
      </c>
      <c r="H40" s="122" t="s">
        <v>2423</v>
      </c>
      <c r="I40" s="128">
        <v>45884</v>
      </c>
      <c r="J40" s="122"/>
    </row>
    <row r="41" spans="2:10" ht="27.75">
      <c r="B41" s="121" t="s">
        <v>2424</v>
      </c>
      <c r="C41" s="122">
        <v>323</v>
      </c>
      <c r="D41" s="122">
        <v>2330</v>
      </c>
      <c r="E41" s="122" t="s">
        <v>2280</v>
      </c>
      <c r="F41" s="122" t="s">
        <v>2425</v>
      </c>
      <c r="G41" s="122" t="s">
        <v>2287</v>
      </c>
      <c r="H41" s="122" t="s">
        <v>2426</v>
      </c>
      <c r="I41" s="128">
        <v>45887</v>
      </c>
      <c r="J41" s="122"/>
    </row>
    <row r="42" spans="2:10" ht="27.75">
      <c r="B42" s="121" t="s">
        <v>2427</v>
      </c>
      <c r="C42" s="122">
        <v>323</v>
      </c>
      <c r="D42" s="122">
        <v>2299</v>
      </c>
      <c r="E42" s="122" t="s">
        <v>2428</v>
      </c>
      <c r="F42" s="122" t="s">
        <v>2429</v>
      </c>
      <c r="G42" s="122" t="s">
        <v>2287</v>
      </c>
      <c r="H42" s="122" t="s">
        <v>2430</v>
      </c>
      <c r="I42" s="128">
        <v>45884</v>
      </c>
      <c r="J42" s="122"/>
    </row>
    <row r="43" spans="2:10" ht="27.75">
      <c r="B43" s="121" t="s">
        <v>2431</v>
      </c>
      <c r="C43" s="122">
        <v>323</v>
      </c>
      <c r="D43" s="122">
        <v>2304</v>
      </c>
      <c r="E43" s="122" t="s">
        <v>2432</v>
      </c>
      <c r="F43" s="122" t="s">
        <v>2433</v>
      </c>
      <c r="G43" s="122" t="s">
        <v>2319</v>
      </c>
      <c r="H43" s="122" t="s">
        <v>2434</v>
      </c>
      <c r="I43" s="128">
        <v>45891</v>
      </c>
      <c r="J43" s="122"/>
    </row>
    <row r="44" spans="2:10" ht="27.75">
      <c r="B44" s="121" t="s">
        <v>2435</v>
      </c>
      <c r="C44" s="122">
        <v>323</v>
      </c>
      <c r="D44" s="122">
        <v>2405</v>
      </c>
      <c r="E44" s="122" t="s">
        <v>2436</v>
      </c>
      <c r="F44" s="124" t="s">
        <v>2437</v>
      </c>
      <c r="G44" s="122" t="s">
        <v>2292</v>
      </c>
      <c r="H44" s="122" t="s">
        <v>2438</v>
      </c>
      <c r="I44" s="128">
        <v>45895</v>
      </c>
      <c r="J44" s="122"/>
    </row>
    <row r="45" spans="2:10" ht="27.75">
      <c r="B45" s="121" t="s">
        <v>2439</v>
      </c>
      <c r="C45" s="122">
        <v>323</v>
      </c>
      <c r="D45" s="122">
        <v>2327</v>
      </c>
      <c r="E45" s="122" t="s">
        <v>2440</v>
      </c>
      <c r="F45" s="124" t="s">
        <v>2441</v>
      </c>
      <c r="G45" s="122" t="s">
        <v>2292</v>
      </c>
      <c r="H45" s="122" t="s">
        <v>2442</v>
      </c>
      <c r="I45" s="128">
        <v>45896</v>
      </c>
      <c r="J45" s="122"/>
    </row>
    <row r="46" spans="2:10" ht="15">
      <c r="B46" s="121" t="s">
        <v>2443</v>
      </c>
      <c r="C46" s="122">
        <v>323</v>
      </c>
      <c r="D46" s="122">
        <v>2336</v>
      </c>
      <c r="E46" s="122" t="s">
        <v>2444</v>
      </c>
      <c r="F46" s="126" t="s">
        <v>2445</v>
      </c>
      <c r="G46" s="122" t="s">
        <v>2287</v>
      </c>
      <c r="H46" s="122" t="s">
        <v>2446</v>
      </c>
      <c r="I46" s="128">
        <v>45882</v>
      </c>
      <c r="J46" s="122"/>
    </row>
    <row r="47" spans="2:10" ht="15">
      <c r="B47" s="121" t="s">
        <v>2447</v>
      </c>
      <c r="C47" s="122">
        <v>323</v>
      </c>
      <c r="D47" s="122">
        <v>2340</v>
      </c>
      <c r="E47" s="122" t="s">
        <v>2448</v>
      </c>
      <c r="F47" s="126" t="s">
        <v>2449</v>
      </c>
      <c r="G47" s="122" t="s">
        <v>2287</v>
      </c>
      <c r="H47" s="122" t="s">
        <v>2450</v>
      </c>
      <c r="I47" s="128">
        <v>45882</v>
      </c>
      <c r="J47" s="122"/>
    </row>
    <row r="48" spans="2:10" ht="15">
      <c r="B48" s="121" t="s">
        <v>2451</v>
      </c>
      <c r="C48" s="122">
        <v>323</v>
      </c>
      <c r="D48" s="122">
        <v>2300</v>
      </c>
      <c r="E48" s="122" t="s">
        <v>2452</v>
      </c>
      <c r="F48" s="126" t="s">
        <v>2453</v>
      </c>
      <c r="G48" s="122" t="s">
        <v>2287</v>
      </c>
      <c r="H48" s="122" t="s">
        <v>2454</v>
      </c>
      <c r="I48" s="128">
        <v>45882</v>
      </c>
      <c r="J48" s="122"/>
    </row>
    <row r="49" spans="2:10" ht="15">
      <c r="B49" s="121" t="s">
        <v>2455</v>
      </c>
      <c r="C49" s="122">
        <v>323</v>
      </c>
      <c r="D49" s="122">
        <v>2313</v>
      </c>
      <c r="E49" s="122" t="s">
        <v>2456</v>
      </c>
      <c r="F49" s="126" t="s">
        <v>2457</v>
      </c>
      <c r="G49" s="122" t="s">
        <v>2287</v>
      </c>
      <c r="H49" s="122" t="s">
        <v>2458</v>
      </c>
      <c r="I49" s="128">
        <v>45883</v>
      </c>
      <c r="J49" s="122"/>
    </row>
    <row r="50" spans="2:10" ht="15">
      <c r="B50" s="121" t="s">
        <v>2459</v>
      </c>
      <c r="C50" s="122">
        <v>323</v>
      </c>
      <c r="D50" s="122">
        <v>2314</v>
      </c>
      <c r="E50" s="122" t="s">
        <v>2460</v>
      </c>
      <c r="F50" s="126" t="s">
        <v>2461</v>
      </c>
      <c r="G50" s="122" t="s">
        <v>2287</v>
      </c>
      <c r="H50" s="122" t="s">
        <v>2462</v>
      </c>
      <c r="I50" s="128">
        <v>45883</v>
      </c>
      <c r="J50" s="122"/>
    </row>
    <row r="51" spans="2:10" ht="15">
      <c r="B51" s="121" t="s">
        <v>2463</v>
      </c>
      <c r="C51" s="122">
        <v>323</v>
      </c>
      <c r="D51" s="122">
        <v>2321</v>
      </c>
      <c r="E51" s="122" t="s">
        <v>2464</v>
      </c>
      <c r="F51" s="126" t="s">
        <v>2465</v>
      </c>
      <c r="G51" s="122" t="s">
        <v>2287</v>
      </c>
      <c r="H51" s="122" t="s">
        <v>2466</v>
      </c>
      <c r="I51" s="128">
        <v>45883</v>
      </c>
      <c r="J51" s="122"/>
    </row>
    <row r="52" spans="2:10" ht="15">
      <c r="B52" s="121" t="s">
        <v>2467</v>
      </c>
      <c r="C52" s="122">
        <v>323</v>
      </c>
      <c r="D52" s="122">
        <v>2326</v>
      </c>
      <c r="E52" s="122" t="s">
        <v>2468</v>
      </c>
      <c r="F52" s="126" t="s">
        <v>2469</v>
      </c>
      <c r="G52" s="122" t="s">
        <v>2287</v>
      </c>
      <c r="H52" s="122" t="s">
        <v>2470</v>
      </c>
      <c r="I52" s="128">
        <v>45882</v>
      </c>
      <c r="J52" s="122"/>
    </row>
    <row r="53" spans="2:10" ht="15">
      <c r="B53" s="121" t="s">
        <v>2471</v>
      </c>
      <c r="C53" s="122">
        <v>323</v>
      </c>
      <c r="D53" s="122">
        <v>2342</v>
      </c>
      <c r="E53" s="122" t="s">
        <v>2472</v>
      </c>
      <c r="F53" s="126" t="s">
        <v>2473</v>
      </c>
      <c r="G53" s="122" t="s">
        <v>2287</v>
      </c>
      <c r="H53" s="122" t="s">
        <v>2474</v>
      </c>
      <c r="I53" s="128">
        <v>45883</v>
      </c>
      <c r="J53" s="122"/>
    </row>
    <row r="54" spans="2:10" ht="15">
      <c r="B54" s="121" t="s">
        <v>2475</v>
      </c>
      <c r="C54" s="122">
        <v>323</v>
      </c>
      <c r="D54" s="122">
        <v>2348</v>
      </c>
      <c r="E54" s="122" t="s">
        <v>2476</v>
      </c>
      <c r="F54" s="126" t="s">
        <v>2477</v>
      </c>
      <c r="G54" s="122" t="s">
        <v>2287</v>
      </c>
      <c r="H54" s="122" t="s">
        <v>2478</v>
      </c>
      <c r="I54" s="128">
        <v>45882</v>
      </c>
      <c r="J54" s="122"/>
    </row>
    <row r="55" spans="2:10" ht="27.75">
      <c r="B55" s="121" t="s">
        <v>2479</v>
      </c>
      <c r="C55" s="122">
        <v>323</v>
      </c>
      <c r="D55" s="122">
        <v>2289</v>
      </c>
      <c r="E55" s="122" t="s">
        <v>2480</v>
      </c>
      <c r="F55" s="124" t="s">
        <v>2481</v>
      </c>
      <c r="G55" s="122" t="s">
        <v>2482</v>
      </c>
      <c r="H55" s="122" t="s">
        <v>119</v>
      </c>
      <c r="I55" s="128">
        <v>45887</v>
      </c>
      <c r="J55" s="122"/>
    </row>
    <row r="56" spans="2:10" s="123" customFormat="1"/>
  </sheetData>
  <autoFilter ref="B2:J55" xr:uid="{C8B72F7B-ADF1-4F91-8BB1-81385B7B138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"/>
  <sheetViews>
    <sheetView workbookViewId="0">
      <selection activeCell="A12" sqref="A12"/>
    </sheetView>
  </sheetViews>
  <sheetFormatPr defaultColWidth="12.5703125" defaultRowHeight="15.75" customHeight="1"/>
  <cols>
    <col min="1" max="1" width="8.140625" bestFit="1" customWidth="1"/>
    <col min="2" max="2" width="28.28515625" bestFit="1" customWidth="1"/>
    <col min="4" max="4" width="14.5703125" bestFit="1" customWidth="1"/>
    <col min="5" max="5" width="15.5703125" bestFit="1" customWidth="1"/>
    <col min="6" max="6" width="8.140625" bestFit="1" customWidth="1"/>
    <col min="7" max="7" width="14" bestFit="1" customWidth="1"/>
    <col min="9" max="9" width="14.5703125" bestFit="1" customWidth="1"/>
    <col min="10" max="10" width="15.5703125" bestFit="1" customWidth="1"/>
    <col min="11" max="11" width="8.140625" bestFit="1" customWidth="1"/>
    <col min="12" max="12" width="27.85546875" bestFit="1" customWidth="1"/>
    <col min="14" max="14" width="14.5703125" bestFit="1" customWidth="1"/>
    <col min="15" max="15" width="15.5703125" bestFit="1" customWidth="1"/>
    <col min="16" max="16" width="8.140625" bestFit="1" customWidth="1"/>
    <col min="17" max="17" width="27.85546875" bestFit="1" customWidth="1"/>
    <col min="19" max="19" width="14.5703125" bestFit="1" customWidth="1"/>
    <col min="20" max="20" width="15.5703125" bestFit="1" customWidth="1"/>
    <col min="21" max="21" width="8.140625" bestFit="1" customWidth="1"/>
    <col min="22" max="22" width="28.140625" bestFit="1" customWidth="1"/>
    <col min="23" max="23" width="11.42578125" bestFit="1" customWidth="1"/>
    <col min="24" max="24" width="14.5703125" bestFit="1" customWidth="1"/>
    <col min="25" max="25" width="15.5703125" bestFit="1" customWidth="1"/>
  </cols>
  <sheetData>
    <row r="1" spans="1:25">
      <c r="A1" s="201" t="s">
        <v>2483</v>
      </c>
      <c r="B1" s="202"/>
      <c r="C1" s="210"/>
      <c r="D1" s="210"/>
      <c r="E1" s="211"/>
      <c r="F1" s="202" t="s">
        <v>2484</v>
      </c>
      <c r="G1" s="202"/>
      <c r="H1" s="210"/>
      <c r="I1" s="210"/>
      <c r="J1" s="211"/>
      <c r="K1" s="202" t="s">
        <v>2485</v>
      </c>
      <c r="L1" s="202"/>
      <c r="M1" s="210"/>
      <c r="N1" s="210"/>
      <c r="O1" s="211"/>
      <c r="P1" s="202" t="s">
        <v>2486</v>
      </c>
      <c r="Q1" s="202"/>
      <c r="R1" s="210"/>
      <c r="S1" s="210"/>
      <c r="T1" s="211"/>
      <c r="U1" s="202" t="s">
        <v>2487</v>
      </c>
      <c r="V1" s="202"/>
      <c r="W1" s="210"/>
      <c r="X1" s="210"/>
      <c r="Y1" s="211"/>
    </row>
    <row r="2" spans="1:25">
      <c r="A2" s="29" t="s">
        <v>2273</v>
      </c>
      <c r="B2" s="30" t="s">
        <v>2488</v>
      </c>
      <c r="C2" s="30" t="s">
        <v>2489</v>
      </c>
      <c r="D2" s="30" t="s">
        <v>2490</v>
      </c>
      <c r="E2" s="30" t="s">
        <v>2491</v>
      </c>
      <c r="F2" s="30" t="s">
        <v>2273</v>
      </c>
      <c r="G2" s="30" t="s">
        <v>2488</v>
      </c>
      <c r="H2" s="30" t="s">
        <v>2489</v>
      </c>
      <c r="I2" s="30" t="s">
        <v>2490</v>
      </c>
      <c r="J2" s="30" t="s">
        <v>2491</v>
      </c>
      <c r="K2" s="30" t="s">
        <v>2273</v>
      </c>
      <c r="L2" s="30" t="s">
        <v>2488</v>
      </c>
      <c r="M2" s="30" t="s">
        <v>2489</v>
      </c>
      <c r="N2" s="30" t="s">
        <v>2490</v>
      </c>
      <c r="O2" s="30" t="s">
        <v>2491</v>
      </c>
      <c r="P2" s="30" t="s">
        <v>2273</v>
      </c>
      <c r="Q2" s="30" t="s">
        <v>2488</v>
      </c>
      <c r="R2" s="30" t="s">
        <v>2489</v>
      </c>
      <c r="S2" s="30" t="s">
        <v>2490</v>
      </c>
      <c r="T2" s="30" t="s">
        <v>2491</v>
      </c>
      <c r="U2" s="30" t="s">
        <v>2273</v>
      </c>
      <c r="V2" s="30" t="s">
        <v>2488</v>
      </c>
      <c r="W2" s="30" t="s">
        <v>2489</v>
      </c>
      <c r="X2" s="30" t="s">
        <v>2490</v>
      </c>
      <c r="Y2" s="31" t="s">
        <v>2491</v>
      </c>
    </row>
    <row r="3" spans="1:25">
      <c r="A3" s="29" t="s">
        <v>2492</v>
      </c>
      <c r="B3" s="30" t="s">
        <v>2098</v>
      </c>
      <c r="C3" s="30" t="s">
        <v>2103</v>
      </c>
      <c r="D3" s="31">
        <v>6</v>
      </c>
      <c r="E3" s="31">
        <v>0</v>
      </c>
      <c r="F3" s="30" t="s">
        <v>2492</v>
      </c>
      <c r="G3" s="30" t="s">
        <v>2493</v>
      </c>
      <c r="H3" s="30" t="s">
        <v>2494</v>
      </c>
      <c r="I3" s="31">
        <v>0</v>
      </c>
      <c r="J3" s="31">
        <v>7</v>
      </c>
      <c r="K3" s="30" t="s">
        <v>2492</v>
      </c>
      <c r="L3" s="30" t="s">
        <v>2495</v>
      </c>
      <c r="M3" s="30" t="s">
        <v>2496</v>
      </c>
      <c r="N3" s="31">
        <v>5</v>
      </c>
      <c r="O3" s="31">
        <v>3</v>
      </c>
      <c r="P3" s="30" t="s">
        <v>2492</v>
      </c>
      <c r="Q3" s="30" t="s">
        <v>2497</v>
      </c>
      <c r="R3" s="30" t="s">
        <v>2498</v>
      </c>
      <c r="S3" s="31">
        <v>4</v>
      </c>
      <c r="T3" s="31">
        <v>2</v>
      </c>
      <c r="U3" s="30" t="s">
        <v>2492</v>
      </c>
      <c r="V3" s="30" t="s">
        <v>2499</v>
      </c>
      <c r="W3" s="30" t="s">
        <v>2500</v>
      </c>
      <c r="X3" s="31">
        <v>0</v>
      </c>
      <c r="Y3" s="31">
        <v>7</v>
      </c>
    </row>
    <row r="4" spans="1:25">
      <c r="A4" s="29" t="s">
        <v>2501</v>
      </c>
      <c r="B4" s="30" t="s">
        <v>2113</v>
      </c>
      <c r="C4" s="30" t="s">
        <v>2502</v>
      </c>
      <c r="D4" s="31">
        <v>5</v>
      </c>
      <c r="E4" s="31">
        <v>0</v>
      </c>
      <c r="F4" s="32"/>
      <c r="G4" s="32"/>
      <c r="H4" s="32"/>
      <c r="I4" s="33"/>
      <c r="J4" s="33"/>
      <c r="K4" s="30" t="s">
        <v>2501</v>
      </c>
      <c r="L4" s="30" t="s">
        <v>2503</v>
      </c>
      <c r="M4" s="30" t="s">
        <v>2504</v>
      </c>
      <c r="N4" s="31">
        <v>33</v>
      </c>
      <c r="O4" s="31">
        <v>4</v>
      </c>
      <c r="P4" s="30" t="s">
        <v>2501</v>
      </c>
      <c r="Q4" s="30" t="s">
        <v>2505</v>
      </c>
      <c r="R4" s="30" t="s">
        <v>2506</v>
      </c>
      <c r="S4" s="31">
        <v>2</v>
      </c>
      <c r="T4" s="31">
        <v>0</v>
      </c>
      <c r="U4" s="30" t="s">
        <v>2501</v>
      </c>
      <c r="V4" s="30" t="s">
        <v>2507</v>
      </c>
      <c r="W4" s="30" t="s">
        <v>2508</v>
      </c>
      <c r="X4" s="31">
        <v>7</v>
      </c>
      <c r="Y4" s="31">
        <v>4</v>
      </c>
    </row>
    <row r="5" spans="1:25">
      <c r="A5" s="29" t="s">
        <v>2509</v>
      </c>
      <c r="B5" s="94" t="s">
        <v>2119</v>
      </c>
      <c r="C5" s="30" t="s">
        <v>2510</v>
      </c>
      <c r="D5" s="31">
        <v>23</v>
      </c>
      <c r="E5" s="31">
        <v>4</v>
      </c>
      <c r="F5" s="32"/>
      <c r="G5" s="32"/>
      <c r="H5" s="32"/>
      <c r="I5" s="33"/>
      <c r="J5" s="33"/>
      <c r="K5" s="32"/>
      <c r="L5" s="32"/>
      <c r="M5" s="32"/>
      <c r="N5" s="33"/>
      <c r="O5" s="33"/>
      <c r="P5" s="30" t="s">
        <v>2509</v>
      </c>
      <c r="Q5" s="30" t="s">
        <v>2511</v>
      </c>
      <c r="R5" s="30" t="s">
        <v>2512</v>
      </c>
      <c r="S5" s="31">
        <v>3</v>
      </c>
      <c r="T5" s="31">
        <v>0</v>
      </c>
      <c r="U5" s="30" t="s">
        <v>2509</v>
      </c>
      <c r="V5" s="30" t="s">
        <v>2513</v>
      </c>
      <c r="W5" s="30" t="s">
        <v>2514</v>
      </c>
      <c r="X5" s="31">
        <v>31</v>
      </c>
      <c r="Y5" s="31">
        <v>2</v>
      </c>
    </row>
    <row r="6" spans="1:25">
      <c r="A6" s="34"/>
      <c r="B6" s="32"/>
      <c r="C6" s="32"/>
      <c r="D6" s="33"/>
      <c r="E6" s="33"/>
      <c r="F6" s="32"/>
      <c r="G6" s="32"/>
      <c r="H6" s="32"/>
      <c r="I6" s="33"/>
      <c r="J6" s="33"/>
      <c r="K6" s="32"/>
      <c r="L6" s="32"/>
      <c r="M6" s="32"/>
      <c r="N6" s="33"/>
      <c r="O6" s="33"/>
      <c r="P6" s="30" t="s">
        <v>2515</v>
      </c>
      <c r="Q6" s="30" t="s">
        <v>2516</v>
      </c>
      <c r="R6" s="30" t="s">
        <v>2517</v>
      </c>
      <c r="S6" s="31">
        <v>1</v>
      </c>
      <c r="T6" s="31">
        <v>0</v>
      </c>
      <c r="U6" s="32"/>
      <c r="V6" s="32"/>
      <c r="W6" s="32"/>
      <c r="X6" s="33"/>
      <c r="Y6" s="33"/>
    </row>
    <row r="7" spans="1:25">
      <c r="A7" s="34"/>
      <c r="B7" s="32"/>
      <c r="C7" s="32"/>
      <c r="D7" s="33"/>
      <c r="E7" s="33"/>
      <c r="F7" s="32"/>
      <c r="G7" s="32"/>
      <c r="H7" s="32"/>
      <c r="I7" s="33"/>
      <c r="J7" s="33"/>
      <c r="K7" s="32"/>
      <c r="L7" s="32"/>
      <c r="M7" s="32"/>
      <c r="N7" s="33"/>
      <c r="O7" s="33"/>
      <c r="P7" s="30" t="s">
        <v>2518</v>
      </c>
      <c r="Q7" s="30" t="s">
        <v>2519</v>
      </c>
      <c r="R7" s="30" t="s">
        <v>2520</v>
      </c>
      <c r="S7" s="31">
        <v>3</v>
      </c>
      <c r="T7" s="31">
        <v>0</v>
      </c>
      <c r="U7" s="32"/>
      <c r="V7" s="32"/>
      <c r="W7" s="32"/>
      <c r="X7" s="33"/>
      <c r="Y7" s="33"/>
    </row>
    <row r="8" spans="1:25">
      <c r="A8" s="34"/>
      <c r="B8" s="32"/>
      <c r="C8" s="32"/>
      <c r="D8" s="33"/>
      <c r="E8" s="33"/>
      <c r="F8" s="32"/>
      <c r="G8" s="32"/>
      <c r="H8" s="32"/>
      <c r="I8" s="33"/>
      <c r="J8" s="33"/>
      <c r="K8" s="32"/>
      <c r="L8" s="32"/>
      <c r="M8" s="32"/>
      <c r="N8" s="33"/>
      <c r="O8" s="33"/>
      <c r="P8" s="30" t="s">
        <v>2521</v>
      </c>
      <c r="Q8" s="30" t="s">
        <v>2522</v>
      </c>
      <c r="R8" s="30" t="s">
        <v>2523</v>
      </c>
      <c r="S8" s="31">
        <v>7</v>
      </c>
      <c r="T8" s="31">
        <v>4</v>
      </c>
      <c r="U8" s="32"/>
      <c r="V8" s="32"/>
      <c r="W8" s="32"/>
      <c r="X8" s="33"/>
      <c r="Y8" s="33"/>
    </row>
    <row r="9" spans="1:25">
      <c r="A9" s="34"/>
      <c r="B9" s="35"/>
      <c r="C9" s="35"/>
      <c r="D9" s="36"/>
      <c r="E9" s="36"/>
      <c r="F9" s="32"/>
      <c r="G9" s="32"/>
      <c r="H9" s="32"/>
      <c r="I9" s="33"/>
      <c r="J9" s="36"/>
      <c r="K9" s="32"/>
      <c r="L9" s="32"/>
      <c r="M9" s="32"/>
      <c r="N9" s="33"/>
      <c r="O9" s="36"/>
      <c r="P9" s="32"/>
      <c r="Q9" s="32"/>
      <c r="R9" s="32"/>
      <c r="S9" s="33"/>
      <c r="T9" s="36"/>
      <c r="U9" s="32"/>
      <c r="V9" s="32"/>
      <c r="W9" s="32"/>
      <c r="X9" s="33"/>
      <c r="Y9" s="36"/>
    </row>
    <row r="10" spans="1:25">
      <c r="A10" s="37"/>
      <c r="B10" s="37"/>
      <c r="C10" s="38" t="s">
        <v>2524</v>
      </c>
      <c r="D10" s="39">
        <f t="shared" ref="D10:E10" si="0">SUM(D3:D9)</f>
        <v>34</v>
      </c>
      <c r="E10" s="39">
        <f t="shared" si="0"/>
        <v>4</v>
      </c>
      <c r="F10" s="37"/>
      <c r="G10" s="37"/>
      <c r="H10" s="40" t="s">
        <v>2524</v>
      </c>
      <c r="I10" s="39">
        <f t="shared" ref="I10:J10" si="1">SUM(I3:I9)</f>
        <v>0</v>
      </c>
      <c r="J10" s="39">
        <f t="shared" si="1"/>
        <v>7</v>
      </c>
      <c r="K10" s="37"/>
      <c r="L10" s="37"/>
      <c r="M10" s="40" t="s">
        <v>2524</v>
      </c>
      <c r="N10" s="39">
        <f t="shared" ref="N10:O10" si="2">SUM(N3:N9)</f>
        <v>38</v>
      </c>
      <c r="O10" s="39">
        <f t="shared" si="2"/>
        <v>7</v>
      </c>
      <c r="P10" s="37"/>
      <c r="Q10" s="37"/>
      <c r="R10" s="40" t="s">
        <v>2524</v>
      </c>
      <c r="S10" s="39">
        <f t="shared" ref="S10:T10" si="3">SUM(S3:S9)</f>
        <v>20</v>
      </c>
      <c r="T10" s="39">
        <f t="shared" si="3"/>
        <v>6</v>
      </c>
      <c r="U10" s="37"/>
      <c r="V10" s="37"/>
      <c r="W10" s="40" t="s">
        <v>2524</v>
      </c>
      <c r="X10" s="39">
        <f t="shared" ref="X10:Y10" si="4">SUM(X3:X9)</f>
        <v>38</v>
      </c>
      <c r="Y10" s="39">
        <f t="shared" si="4"/>
        <v>13</v>
      </c>
    </row>
  </sheetData>
  <mergeCells count="5">
    <mergeCell ref="A1:E1"/>
    <mergeCell ref="F1:J1"/>
    <mergeCell ref="K1:O1"/>
    <mergeCell ref="P1:T1"/>
    <mergeCell ref="U1:Y1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0272-9223-4E83-883D-977CD8629E86}">
  <dimension ref="A1:D39"/>
  <sheetViews>
    <sheetView workbookViewId="0">
      <selection activeCell="C3" sqref="C3"/>
    </sheetView>
  </sheetViews>
  <sheetFormatPr defaultRowHeight="12.75"/>
  <cols>
    <col min="1" max="1" width="8.140625" bestFit="1" customWidth="1"/>
    <col min="2" max="2" width="36.28515625" customWidth="1"/>
    <col min="3" max="3" width="28.28515625" bestFit="1" customWidth="1"/>
    <col min="4" max="4" width="12" style="110" bestFit="1" customWidth="1"/>
  </cols>
  <sheetData>
    <row r="1" spans="1:4" ht="15">
      <c r="A1" s="203" t="s">
        <v>2483</v>
      </c>
      <c r="B1" s="204"/>
      <c r="C1" s="204"/>
      <c r="D1" s="205"/>
    </row>
    <row r="2" spans="1:4" ht="15">
      <c r="A2" s="95" t="s">
        <v>2273</v>
      </c>
      <c r="B2" s="96" t="s">
        <v>2525</v>
      </c>
      <c r="C2" s="96" t="s">
        <v>2526</v>
      </c>
      <c r="D2" s="107" t="s">
        <v>2489</v>
      </c>
    </row>
    <row r="3" spans="1:4" ht="15">
      <c r="A3" s="95" t="s">
        <v>2492</v>
      </c>
      <c r="B3" s="96" t="s">
        <v>2104</v>
      </c>
      <c r="C3" s="96" t="s">
        <v>2098</v>
      </c>
      <c r="D3" s="108">
        <v>104139129</v>
      </c>
    </row>
    <row r="4" spans="1:4" ht="15">
      <c r="A4" s="95" t="s">
        <v>2501</v>
      </c>
      <c r="B4" s="96" t="s">
        <v>2116</v>
      </c>
      <c r="C4" s="96" t="s">
        <v>2113</v>
      </c>
      <c r="D4" s="108">
        <v>104139130</v>
      </c>
    </row>
    <row r="5" spans="1:4" ht="15">
      <c r="A5" s="97" t="s">
        <v>2509</v>
      </c>
      <c r="B5" s="98" t="s">
        <v>2123</v>
      </c>
      <c r="C5" s="98" t="s">
        <v>2119</v>
      </c>
      <c r="D5" s="109">
        <v>104139134</v>
      </c>
    </row>
    <row r="6" spans="1:4" ht="15">
      <c r="A6" s="206" t="s">
        <v>2484</v>
      </c>
      <c r="B6" s="207"/>
      <c r="C6" s="207"/>
      <c r="D6" s="208"/>
    </row>
    <row r="7" spans="1:4" ht="15">
      <c r="A7" s="95" t="s">
        <v>2273</v>
      </c>
      <c r="B7" s="96"/>
      <c r="C7" s="96" t="s">
        <v>2526</v>
      </c>
      <c r="D7" s="107" t="s">
        <v>2489</v>
      </c>
    </row>
    <row r="8" spans="1:4" ht="15">
      <c r="A8" s="95" t="s">
        <v>2492</v>
      </c>
      <c r="B8" s="96" t="s">
        <v>2527</v>
      </c>
      <c r="C8" s="96" t="s">
        <v>2493</v>
      </c>
      <c r="D8" s="108">
        <v>104215145</v>
      </c>
    </row>
    <row r="9" spans="1:4" ht="15">
      <c r="A9" s="203" t="s">
        <v>2485</v>
      </c>
      <c r="B9" s="204"/>
      <c r="C9" s="204"/>
      <c r="D9" s="205"/>
    </row>
    <row r="10" spans="1:4" ht="15">
      <c r="A10" s="95" t="s">
        <v>2273</v>
      </c>
      <c r="B10" s="96"/>
      <c r="C10" s="96" t="s">
        <v>2526</v>
      </c>
      <c r="D10" s="107" t="s">
        <v>2489</v>
      </c>
    </row>
    <row r="11" spans="1:4" ht="15">
      <c r="A11" s="95" t="s">
        <v>2492</v>
      </c>
      <c r="B11" s="96" t="s">
        <v>2528</v>
      </c>
      <c r="C11" s="96" t="s">
        <v>2495</v>
      </c>
      <c r="D11" s="108">
        <v>104151193</v>
      </c>
    </row>
    <row r="12" spans="1:4" ht="15">
      <c r="A12" s="95" t="s">
        <v>2501</v>
      </c>
      <c r="B12" s="96" t="s">
        <v>2529</v>
      </c>
      <c r="C12" s="96" t="s">
        <v>2503</v>
      </c>
      <c r="D12" s="108">
        <v>104151194</v>
      </c>
    </row>
    <row r="13" spans="1:4" ht="15">
      <c r="A13" s="203" t="s">
        <v>2486</v>
      </c>
      <c r="B13" s="204"/>
      <c r="C13" s="204"/>
      <c r="D13" s="205"/>
    </row>
    <row r="14" spans="1:4" ht="15">
      <c r="A14" s="95" t="s">
        <v>2273</v>
      </c>
      <c r="B14" s="96"/>
      <c r="C14" s="96" t="s">
        <v>2526</v>
      </c>
      <c r="D14" s="107" t="s">
        <v>2489</v>
      </c>
    </row>
    <row r="15" spans="1:4" ht="15">
      <c r="A15" s="95" t="s">
        <v>2492</v>
      </c>
      <c r="B15" s="96" t="s">
        <v>2530</v>
      </c>
      <c r="C15" s="96" t="s">
        <v>2497</v>
      </c>
      <c r="D15" s="107" t="s">
        <v>2498</v>
      </c>
    </row>
    <row r="16" spans="1:4" ht="15">
      <c r="A16" s="95" t="s">
        <v>2531</v>
      </c>
      <c r="B16" s="96" t="s">
        <v>2532</v>
      </c>
      <c r="C16" s="96" t="s">
        <v>2533</v>
      </c>
      <c r="D16" s="107" t="s">
        <v>2534</v>
      </c>
    </row>
    <row r="17" spans="1:4" ht="15">
      <c r="A17" s="95" t="s">
        <v>2501</v>
      </c>
      <c r="B17" s="96" t="s">
        <v>2535</v>
      </c>
      <c r="C17" s="96" t="s">
        <v>2505</v>
      </c>
      <c r="D17" s="107" t="s">
        <v>2506</v>
      </c>
    </row>
    <row r="18" spans="1:4" ht="15">
      <c r="A18" s="95" t="s">
        <v>2509</v>
      </c>
      <c r="B18" s="96" t="s">
        <v>2536</v>
      </c>
      <c r="C18" s="96" t="s">
        <v>2511</v>
      </c>
      <c r="D18" s="107" t="s">
        <v>2512</v>
      </c>
    </row>
    <row r="19" spans="1:4" ht="15">
      <c r="A19" s="95" t="s">
        <v>2515</v>
      </c>
      <c r="B19" s="96" t="s">
        <v>2537</v>
      </c>
      <c r="C19" s="96" t="s">
        <v>2516</v>
      </c>
      <c r="D19" s="107" t="s">
        <v>2517</v>
      </c>
    </row>
    <row r="20" spans="1:4" ht="15">
      <c r="A20" s="95" t="s">
        <v>2518</v>
      </c>
      <c r="B20" s="96" t="s">
        <v>2538</v>
      </c>
      <c r="C20" s="96" t="s">
        <v>2519</v>
      </c>
      <c r="D20" s="108" t="s">
        <v>2520</v>
      </c>
    </row>
    <row r="21" spans="1:4" ht="15">
      <c r="A21" s="95" t="s">
        <v>2521</v>
      </c>
      <c r="B21" s="96" t="s">
        <v>2539</v>
      </c>
      <c r="C21" s="96" t="s">
        <v>2522</v>
      </c>
      <c r="D21" s="108" t="s">
        <v>2523</v>
      </c>
    </row>
    <row r="22" spans="1:4" ht="15">
      <c r="A22" s="95" t="s">
        <v>2540</v>
      </c>
      <c r="B22" s="96" t="s">
        <v>2541</v>
      </c>
      <c r="C22" s="96" t="s">
        <v>2542</v>
      </c>
      <c r="D22" s="108" t="s">
        <v>2543</v>
      </c>
    </row>
    <row r="23" spans="1:4" ht="15">
      <c r="A23" s="95" t="s">
        <v>2544</v>
      </c>
      <c r="B23" s="96" t="s">
        <v>2545</v>
      </c>
      <c r="C23" s="96" t="s">
        <v>2546</v>
      </c>
      <c r="D23" s="108" t="s">
        <v>2547</v>
      </c>
    </row>
    <row r="24" spans="1:4" ht="15">
      <c r="A24" s="203" t="s">
        <v>2487</v>
      </c>
      <c r="B24" s="204"/>
      <c r="C24" s="204"/>
      <c r="D24" s="205"/>
    </row>
    <row r="25" spans="1:4" ht="15">
      <c r="A25" s="95" t="s">
        <v>2273</v>
      </c>
      <c r="B25" s="96"/>
      <c r="C25" s="96" t="s">
        <v>2526</v>
      </c>
      <c r="D25" s="107" t="s">
        <v>2489</v>
      </c>
    </row>
    <row r="26" spans="1:4" ht="15">
      <c r="A26" s="95" t="s">
        <v>2492</v>
      </c>
      <c r="B26" s="96" t="s">
        <v>2548</v>
      </c>
      <c r="C26" s="96" t="s">
        <v>2499</v>
      </c>
      <c r="D26" s="107" t="s">
        <v>2500</v>
      </c>
    </row>
    <row r="27" spans="1:4" ht="15">
      <c r="A27" s="95" t="s">
        <v>2501</v>
      </c>
      <c r="B27" s="96" t="s">
        <v>2549</v>
      </c>
      <c r="C27" s="96" t="s">
        <v>2507</v>
      </c>
      <c r="D27" s="107" t="s">
        <v>2508</v>
      </c>
    </row>
    <row r="28" spans="1:4" ht="15">
      <c r="A28" s="95" t="s">
        <v>2509</v>
      </c>
      <c r="B28" s="96" t="s">
        <v>2550</v>
      </c>
      <c r="C28" s="96" t="s">
        <v>2513</v>
      </c>
      <c r="D28" s="107" t="s">
        <v>2514</v>
      </c>
    </row>
    <row r="29" spans="1:4" ht="15">
      <c r="A29" s="203" t="s">
        <v>2551</v>
      </c>
      <c r="B29" s="204"/>
      <c r="C29" s="204"/>
      <c r="D29" s="205"/>
    </row>
    <row r="30" spans="1:4" ht="15">
      <c r="A30" s="95" t="s">
        <v>2273</v>
      </c>
      <c r="B30" s="96"/>
      <c r="C30" s="96" t="s">
        <v>2526</v>
      </c>
      <c r="D30" s="107" t="s">
        <v>2489</v>
      </c>
    </row>
    <row r="31" spans="1:4" ht="15">
      <c r="A31" s="95" t="s">
        <v>2492</v>
      </c>
      <c r="B31" s="96" t="s">
        <v>1993</v>
      </c>
      <c r="C31" s="96" t="s">
        <v>1986</v>
      </c>
      <c r="D31" s="107" t="s">
        <v>1992</v>
      </c>
    </row>
    <row r="32" spans="1:4" ht="15">
      <c r="A32" s="95" t="s">
        <v>2501</v>
      </c>
      <c r="B32" s="96" t="s">
        <v>2029</v>
      </c>
      <c r="C32" s="96" t="s">
        <v>2024</v>
      </c>
      <c r="D32" s="107" t="s">
        <v>2028</v>
      </c>
    </row>
    <row r="33" spans="1:4" ht="15">
      <c r="A33" s="203" t="s">
        <v>2552</v>
      </c>
      <c r="B33" s="204"/>
      <c r="C33" s="204"/>
      <c r="D33" s="205"/>
    </row>
    <row r="34" spans="1:4" ht="15">
      <c r="A34" s="95" t="s">
        <v>2273</v>
      </c>
      <c r="B34" s="96"/>
      <c r="C34" s="96" t="s">
        <v>2526</v>
      </c>
      <c r="D34" s="107" t="s">
        <v>2489</v>
      </c>
    </row>
    <row r="35" spans="1:4" ht="15">
      <c r="A35" s="95" t="s">
        <v>2492</v>
      </c>
      <c r="B35" s="96" t="s">
        <v>2553</v>
      </c>
      <c r="C35" s="96" t="s">
        <v>2554</v>
      </c>
      <c r="D35" s="107" t="s">
        <v>2555</v>
      </c>
    </row>
    <row r="36" spans="1:4" ht="15">
      <c r="A36" s="203" t="s">
        <v>2556</v>
      </c>
      <c r="B36" s="204"/>
      <c r="C36" s="204"/>
      <c r="D36" s="205"/>
    </row>
    <row r="37" spans="1:4" ht="15">
      <c r="A37" s="95" t="s">
        <v>2273</v>
      </c>
      <c r="B37" s="96"/>
      <c r="C37" s="96" t="s">
        <v>2526</v>
      </c>
      <c r="D37" s="107" t="s">
        <v>2489</v>
      </c>
    </row>
    <row r="38" spans="1:4" ht="15">
      <c r="A38" s="95" t="s">
        <v>2492</v>
      </c>
      <c r="B38" s="96" t="s">
        <v>2557</v>
      </c>
      <c r="C38" s="96" t="s">
        <v>2558</v>
      </c>
      <c r="D38" s="107" t="s">
        <v>2559</v>
      </c>
    </row>
    <row r="39" spans="1:4" ht="15">
      <c r="A39" s="95" t="s">
        <v>2501</v>
      </c>
      <c r="B39" s="96" t="s">
        <v>2560</v>
      </c>
      <c r="C39" s="96" t="s">
        <v>2561</v>
      </c>
      <c r="D39" s="107" t="s">
        <v>2562</v>
      </c>
    </row>
  </sheetData>
  <mergeCells count="8">
    <mergeCell ref="A33:D33"/>
    <mergeCell ref="A36:D36"/>
    <mergeCell ref="A29:D29"/>
    <mergeCell ref="A1:D1"/>
    <mergeCell ref="A6:D6"/>
    <mergeCell ref="A9:D9"/>
    <mergeCell ref="A13:D13"/>
    <mergeCell ref="A24:D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5"/>
  <sheetViews>
    <sheetView workbookViewId="0">
      <pane ySplit="1" topLeftCell="A3" activePane="bottomLeft" state="frozen"/>
      <selection pane="bottomLeft" activeCell="E1" sqref="E1"/>
    </sheetView>
  </sheetViews>
  <sheetFormatPr defaultColWidth="12.5703125" defaultRowHeight="15.75" customHeight="1"/>
  <cols>
    <col min="3" max="3" width="13.7109375" customWidth="1"/>
    <col min="4" max="4" width="32.42578125" customWidth="1"/>
    <col min="5" max="5" width="14.5703125" customWidth="1"/>
    <col min="6" max="6" width="12.7109375" customWidth="1"/>
    <col min="7" max="7" width="12.85546875" customWidth="1"/>
    <col min="8" max="8" width="18.140625" customWidth="1"/>
    <col min="9" max="9" width="14.42578125" customWidth="1"/>
    <col min="10" max="10" width="16.140625" customWidth="1"/>
    <col min="12" max="12" width="25.140625" customWidth="1"/>
  </cols>
  <sheetData>
    <row r="1" spans="1:12">
      <c r="A1" s="41" t="s">
        <v>0</v>
      </c>
      <c r="B1" s="42" t="s">
        <v>2563</v>
      </c>
      <c r="C1" s="42" t="s">
        <v>2564</v>
      </c>
      <c r="D1" s="42" t="s">
        <v>1</v>
      </c>
      <c r="E1" s="42" t="s">
        <v>2565</v>
      </c>
      <c r="F1" s="42" t="s">
        <v>2566</v>
      </c>
      <c r="G1" s="43" t="s">
        <v>2567</v>
      </c>
      <c r="H1" s="43" t="s">
        <v>2568</v>
      </c>
      <c r="I1" s="43" t="s">
        <v>2569</v>
      </c>
      <c r="J1" s="43" t="s">
        <v>2570</v>
      </c>
      <c r="K1" s="42" t="s">
        <v>0</v>
      </c>
      <c r="L1" s="44" t="s">
        <v>2571</v>
      </c>
    </row>
    <row r="2" spans="1:12">
      <c r="A2" s="45" t="s">
        <v>2572</v>
      </c>
      <c r="B2" s="46" t="s">
        <v>2573</v>
      </c>
      <c r="C2" s="46" t="s">
        <v>2574</v>
      </c>
      <c r="D2" s="46" t="s">
        <v>2575</v>
      </c>
      <c r="E2" s="46" t="s">
        <v>2576</v>
      </c>
      <c r="F2" s="46" t="s">
        <v>1248</v>
      </c>
      <c r="G2" s="47">
        <v>874</v>
      </c>
      <c r="H2" s="47" t="s">
        <v>2577</v>
      </c>
      <c r="I2" s="47" t="s">
        <v>2510</v>
      </c>
      <c r="J2" s="47" t="s">
        <v>2578</v>
      </c>
      <c r="K2" s="46"/>
      <c r="L2" s="48" t="s">
        <v>2579</v>
      </c>
    </row>
    <row r="3" spans="1:12">
      <c r="A3" s="49" t="s">
        <v>2580</v>
      </c>
      <c r="B3" s="50" t="s">
        <v>2581</v>
      </c>
      <c r="C3" s="50" t="s">
        <v>2582</v>
      </c>
      <c r="D3" s="50" t="s">
        <v>2583</v>
      </c>
      <c r="E3" s="50" t="s">
        <v>2576</v>
      </c>
      <c r="F3" s="50" t="s">
        <v>2584</v>
      </c>
      <c r="G3" s="51">
        <v>875</v>
      </c>
      <c r="H3" s="51" t="s">
        <v>2585</v>
      </c>
      <c r="I3" s="51" t="s">
        <v>2103</v>
      </c>
      <c r="J3" s="51" t="s">
        <v>2586</v>
      </c>
      <c r="K3" s="50" t="s">
        <v>2587</v>
      </c>
      <c r="L3" s="52"/>
    </row>
    <row r="4" spans="1:12">
      <c r="A4" s="45" t="s">
        <v>2588</v>
      </c>
      <c r="B4" s="46" t="s">
        <v>2589</v>
      </c>
      <c r="C4" s="46" t="s">
        <v>2590</v>
      </c>
      <c r="D4" s="46" t="s">
        <v>2591</v>
      </c>
      <c r="E4" s="46" t="s">
        <v>2576</v>
      </c>
      <c r="F4" s="46" t="s">
        <v>1248</v>
      </c>
      <c r="G4" s="47">
        <v>876</v>
      </c>
      <c r="H4" s="47" t="s">
        <v>2592</v>
      </c>
      <c r="I4" s="47" t="s">
        <v>2510</v>
      </c>
      <c r="J4" s="47" t="s">
        <v>2593</v>
      </c>
      <c r="K4" s="46" t="s">
        <v>2594</v>
      </c>
      <c r="L4" s="48"/>
    </row>
    <row r="5" spans="1:12">
      <c r="A5" s="49" t="s">
        <v>2595</v>
      </c>
      <c r="B5" s="50" t="s">
        <v>2596</v>
      </c>
      <c r="C5" s="50" t="s">
        <v>2597</v>
      </c>
      <c r="D5" s="50" t="s">
        <v>2598</v>
      </c>
      <c r="E5" s="50" t="s">
        <v>2576</v>
      </c>
      <c r="F5" s="53" t="s">
        <v>1248</v>
      </c>
      <c r="G5" s="51">
        <v>877</v>
      </c>
      <c r="H5" s="51" t="s">
        <v>2599</v>
      </c>
      <c r="I5" s="51" t="s">
        <v>2510</v>
      </c>
      <c r="J5" s="51" t="s">
        <v>2600</v>
      </c>
      <c r="K5" s="50" t="s">
        <v>2594</v>
      </c>
      <c r="L5" s="52"/>
    </row>
    <row r="6" spans="1:12">
      <c r="A6" s="54"/>
      <c r="B6" s="46"/>
      <c r="C6" s="46" t="s">
        <v>2601</v>
      </c>
      <c r="D6" s="46" t="s">
        <v>2598</v>
      </c>
      <c r="E6" s="46" t="s">
        <v>2576</v>
      </c>
      <c r="F6" s="55" t="s">
        <v>2602</v>
      </c>
      <c r="G6" s="47">
        <v>824</v>
      </c>
      <c r="H6" s="46"/>
      <c r="I6" s="46"/>
      <c r="J6" s="46"/>
      <c r="K6" s="46"/>
      <c r="L6" s="48"/>
    </row>
    <row r="7" spans="1:12">
      <c r="A7" s="56" t="s">
        <v>2603</v>
      </c>
      <c r="B7" s="50" t="s">
        <v>2604</v>
      </c>
      <c r="C7" s="50" t="s">
        <v>2605</v>
      </c>
      <c r="D7" s="50" t="s">
        <v>2606</v>
      </c>
      <c r="E7" s="50" t="s">
        <v>2576</v>
      </c>
      <c r="F7" s="50" t="s">
        <v>2607</v>
      </c>
      <c r="G7" s="51">
        <v>2948</v>
      </c>
      <c r="H7" s="51" t="s">
        <v>2608</v>
      </c>
      <c r="I7" s="51" t="s">
        <v>2510</v>
      </c>
      <c r="J7" s="51" t="s">
        <v>2609</v>
      </c>
      <c r="K7" s="50"/>
      <c r="L7" s="52" t="s">
        <v>2610</v>
      </c>
    </row>
    <row r="8" spans="1:12">
      <c r="A8" s="45" t="s">
        <v>2611</v>
      </c>
      <c r="B8" s="46" t="s">
        <v>2612</v>
      </c>
      <c r="C8" s="46" t="s">
        <v>2613</v>
      </c>
      <c r="D8" s="46" t="s">
        <v>2614</v>
      </c>
      <c r="E8" s="46" t="s">
        <v>2576</v>
      </c>
      <c r="F8" s="55" t="s">
        <v>2615</v>
      </c>
      <c r="G8" s="47">
        <v>878</v>
      </c>
      <c r="H8" s="47" t="s">
        <v>2616</v>
      </c>
      <c r="I8" s="47" t="s">
        <v>2510</v>
      </c>
      <c r="J8" s="47" t="s">
        <v>2617</v>
      </c>
      <c r="K8" s="46" t="s">
        <v>2618</v>
      </c>
      <c r="L8" s="48"/>
    </row>
    <row r="9" spans="1:12">
      <c r="A9" s="49"/>
      <c r="B9" s="57"/>
      <c r="C9" s="58" t="s">
        <v>2619</v>
      </c>
      <c r="D9" s="57" t="s">
        <v>2614</v>
      </c>
      <c r="E9" s="50" t="s">
        <v>2576</v>
      </c>
      <c r="F9" s="53" t="s">
        <v>2602</v>
      </c>
      <c r="G9" s="51">
        <v>826</v>
      </c>
      <c r="H9" s="50"/>
      <c r="I9" s="50"/>
      <c r="J9" s="50"/>
      <c r="K9" s="50"/>
      <c r="L9" s="52"/>
    </row>
    <row r="10" spans="1:12">
      <c r="A10" s="45" t="s">
        <v>2620</v>
      </c>
      <c r="B10" s="46" t="s">
        <v>2621</v>
      </c>
      <c r="C10" s="46" t="s">
        <v>2622</v>
      </c>
      <c r="D10" s="46" t="s">
        <v>2623</v>
      </c>
      <c r="E10" s="46" t="s">
        <v>2576</v>
      </c>
      <c r="F10" s="46" t="s">
        <v>1248</v>
      </c>
      <c r="G10" s="47">
        <v>879</v>
      </c>
      <c r="H10" s="47" t="s">
        <v>2624</v>
      </c>
      <c r="I10" s="47" t="s">
        <v>2510</v>
      </c>
      <c r="J10" s="47" t="s">
        <v>2625</v>
      </c>
      <c r="K10" s="46"/>
      <c r="L10" s="48" t="s">
        <v>2626</v>
      </c>
    </row>
    <row r="11" spans="1:12">
      <c r="A11" s="49" t="s">
        <v>2627</v>
      </c>
      <c r="B11" s="50" t="s">
        <v>2628</v>
      </c>
      <c r="C11" s="50" t="s">
        <v>2629</v>
      </c>
      <c r="D11" s="50" t="s">
        <v>2630</v>
      </c>
      <c r="E11" s="50" t="s">
        <v>2576</v>
      </c>
      <c r="F11" s="50" t="s">
        <v>2631</v>
      </c>
      <c r="G11" s="51">
        <v>880</v>
      </c>
      <c r="H11" s="51" t="s">
        <v>2632</v>
      </c>
      <c r="I11" s="51" t="s">
        <v>2510</v>
      </c>
      <c r="J11" s="51" t="s">
        <v>2633</v>
      </c>
      <c r="K11" s="50"/>
      <c r="L11" s="52" t="s">
        <v>2634</v>
      </c>
    </row>
    <row r="12" spans="1:12">
      <c r="A12" s="45" t="s">
        <v>2635</v>
      </c>
      <c r="B12" s="46" t="s">
        <v>2636</v>
      </c>
      <c r="C12" s="46" t="s">
        <v>2637</v>
      </c>
      <c r="D12" s="46" t="s">
        <v>2638</v>
      </c>
      <c r="E12" s="46" t="s">
        <v>2576</v>
      </c>
      <c r="F12" s="46" t="s">
        <v>2631</v>
      </c>
      <c r="G12" s="47">
        <v>881</v>
      </c>
      <c r="H12" s="47" t="s">
        <v>2639</v>
      </c>
      <c r="I12" s="47" t="s">
        <v>2510</v>
      </c>
      <c r="J12" s="47" t="s">
        <v>2640</v>
      </c>
      <c r="K12" s="46"/>
      <c r="L12" s="48" t="s">
        <v>2641</v>
      </c>
    </row>
    <row r="13" spans="1:12">
      <c r="A13" s="59" t="s">
        <v>2642</v>
      </c>
      <c r="B13" s="60" t="s">
        <v>2643</v>
      </c>
      <c r="C13" s="60" t="s">
        <v>2644</v>
      </c>
      <c r="D13" s="60" t="s">
        <v>2645</v>
      </c>
      <c r="E13" s="60" t="s">
        <v>2576</v>
      </c>
      <c r="F13" s="60" t="s">
        <v>563</v>
      </c>
      <c r="G13" s="61">
        <v>882</v>
      </c>
      <c r="H13" s="61" t="s">
        <v>2646</v>
      </c>
      <c r="I13" s="61" t="s">
        <v>2510</v>
      </c>
      <c r="J13" s="61" t="s">
        <v>2647</v>
      </c>
      <c r="K13" s="60"/>
      <c r="L13" s="62" t="s">
        <v>2648</v>
      </c>
    </row>
    <row r="14" spans="1:12">
      <c r="A14" s="63" t="s">
        <v>2649</v>
      </c>
      <c r="B14" s="64" t="s">
        <v>2650</v>
      </c>
      <c r="C14" s="64" t="s">
        <v>2651</v>
      </c>
      <c r="D14" s="64" t="s">
        <v>2652</v>
      </c>
      <c r="E14" s="64" t="s">
        <v>2576</v>
      </c>
      <c r="F14" s="64" t="s">
        <v>1248</v>
      </c>
      <c r="G14" s="65">
        <v>883</v>
      </c>
      <c r="H14" s="65" t="s">
        <v>2653</v>
      </c>
      <c r="I14" s="65" t="s">
        <v>2510</v>
      </c>
      <c r="J14" s="65" t="s">
        <v>2654</v>
      </c>
      <c r="K14" s="64"/>
      <c r="L14" s="66" t="s">
        <v>2655</v>
      </c>
    </row>
    <row r="15" spans="1:12">
      <c r="A15" s="63" t="s">
        <v>2656</v>
      </c>
      <c r="B15" s="64" t="s">
        <v>2657</v>
      </c>
      <c r="C15" s="64" t="s">
        <v>2658</v>
      </c>
      <c r="D15" s="64" t="s">
        <v>2659</v>
      </c>
      <c r="E15" s="64" t="s">
        <v>2576</v>
      </c>
      <c r="F15" s="64" t="s">
        <v>2660</v>
      </c>
      <c r="G15" s="65">
        <v>884</v>
      </c>
      <c r="H15" s="65" t="s">
        <v>2661</v>
      </c>
      <c r="I15" s="65" t="s">
        <v>2510</v>
      </c>
      <c r="J15" s="65" t="s">
        <v>2662</v>
      </c>
      <c r="K15" s="64"/>
      <c r="L15" s="66" t="s">
        <v>2663</v>
      </c>
    </row>
    <row r="16" spans="1:12">
      <c r="A16" s="63" t="s">
        <v>2664</v>
      </c>
      <c r="B16" s="64" t="s">
        <v>2665</v>
      </c>
      <c r="C16" s="64" t="s">
        <v>2666</v>
      </c>
      <c r="D16" s="64" t="s">
        <v>2667</v>
      </c>
      <c r="E16" s="64" t="s">
        <v>2576</v>
      </c>
      <c r="F16" s="64" t="s">
        <v>1248</v>
      </c>
      <c r="G16" s="65">
        <v>885</v>
      </c>
      <c r="H16" s="65" t="s">
        <v>2668</v>
      </c>
      <c r="I16" s="65" t="s">
        <v>2510</v>
      </c>
      <c r="J16" s="65" t="s">
        <v>2669</v>
      </c>
      <c r="K16" s="64"/>
      <c r="L16" s="66" t="s">
        <v>2670</v>
      </c>
    </row>
    <row r="17" spans="1:12">
      <c r="A17" s="63" t="s">
        <v>2671</v>
      </c>
      <c r="B17" s="64" t="s">
        <v>2672</v>
      </c>
      <c r="C17" s="64" t="s">
        <v>2673</v>
      </c>
      <c r="D17" s="64" t="s">
        <v>2674</v>
      </c>
      <c r="E17" s="64" t="s">
        <v>2576</v>
      </c>
      <c r="F17" s="64" t="s">
        <v>2615</v>
      </c>
      <c r="G17" s="65">
        <v>886</v>
      </c>
      <c r="H17" s="65" t="s">
        <v>2675</v>
      </c>
      <c r="I17" s="65" t="s">
        <v>2510</v>
      </c>
      <c r="J17" s="65" t="s">
        <v>2676</v>
      </c>
      <c r="K17" s="64"/>
      <c r="L17" s="66" t="s">
        <v>2677</v>
      </c>
    </row>
    <row r="18" spans="1:12">
      <c r="A18" s="63" t="s">
        <v>2678</v>
      </c>
      <c r="B18" s="64" t="s">
        <v>2679</v>
      </c>
      <c r="C18" s="64" t="s">
        <v>2680</v>
      </c>
      <c r="D18" s="64" t="s">
        <v>2681</v>
      </c>
      <c r="E18" s="64" t="s">
        <v>2576</v>
      </c>
      <c r="F18" s="64" t="s">
        <v>2631</v>
      </c>
      <c r="G18" s="65">
        <v>887</v>
      </c>
      <c r="H18" s="65" t="s">
        <v>2682</v>
      </c>
      <c r="I18" s="65" t="s">
        <v>2510</v>
      </c>
      <c r="J18" s="65" t="s">
        <v>2683</v>
      </c>
      <c r="K18" s="64"/>
      <c r="L18" s="66" t="s">
        <v>2684</v>
      </c>
    </row>
    <row r="19" spans="1:12">
      <c r="A19" s="63" t="s">
        <v>2685</v>
      </c>
      <c r="B19" s="64" t="s">
        <v>2686</v>
      </c>
      <c r="C19" s="64" t="s">
        <v>2687</v>
      </c>
      <c r="D19" s="64" t="s">
        <v>2688</v>
      </c>
      <c r="E19" s="64" t="s">
        <v>2576</v>
      </c>
      <c r="F19" s="64" t="s">
        <v>563</v>
      </c>
      <c r="G19" s="65">
        <v>888</v>
      </c>
      <c r="H19" s="65" t="s">
        <v>2689</v>
      </c>
      <c r="I19" s="65" t="s">
        <v>2510</v>
      </c>
      <c r="J19" s="65" t="s">
        <v>2690</v>
      </c>
      <c r="K19" s="64"/>
      <c r="L19" s="66" t="s">
        <v>2691</v>
      </c>
    </row>
    <row r="20" spans="1:12">
      <c r="A20" s="63" t="s">
        <v>2692</v>
      </c>
      <c r="B20" s="64" t="s">
        <v>2693</v>
      </c>
      <c r="C20" s="64" t="s">
        <v>2694</v>
      </c>
      <c r="D20" s="64" t="s">
        <v>2695</v>
      </c>
      <c r="E20" s="64" t="s">
        <v>2576</v>
      </c>
      <c r="F20" s="64" t="s">
        <v>2696</v>
      </c>
      <c r="G20" s="65">
        <v>889</v>
      </c>
      <c r="H20" s="65" t="s">
        <v>2697</v>
      </c>
      <c r="I20" s="65" t="s">
        <v>2103</v>
      </c>
      <c r="J20" s="65" t="s">
        <v>2698</v>
      </c>
      <c r="K20" s="64" t="s">
        <v>2618</v>
      </c>
      <c r="L20" s="66"/>
    </row>
    <row r="21" spans="1:12">
      <c r="A21" s="63" t="s">
        <v>2699</v>
      </c>
      <c r="B21" s="64" t="s">
        <v>2700</v>
      </c>
      <c r="C21" s="64" t="s">
        <v>2701</v>
      </c>
      <c r="D21" s="64" t="s">
        <v>2702</v>
      </c>
      <c r="E21" s="64" t="s">
        <v>2576</v>
      </c>
      <c r="F21" s="64" t="s">
        <v>2615</v>
      </c>
      <c r="G21" s="65">
        <v>890</v>
      </c>
      <c r="H21" s="65" t="s">
        <v>2703</v>
      </c>
      <c r="I21" s="65" t="s">
        <v>2510</v>
      </c>
      <c r="J21" s="65" t="s">
        <v>2704</v>
      </c>
      <c r="K21" s="64"/>
      <c r="L21" s="66" t="s">
        <v>2705</v>
      </c>
    </row>
    <row r="22" spans="1:12">
      <c r="A22" s="63" t="s">
        <v>2706</v>
      </c>
      <c r="B22" s="64" t="s">
        <v>2707</v>
      </c>
      <c r="C22" s="64" t="s">
        <v>2708</v>
      </c>
      <c r="D22" s="64" t="s">
        <v>2709</v>
      </c>
      <c r="E22" s="64" t="s">
        <v>2576</v>
      </c>
      <c r="F22" s="64" t="s">
        <v>1248</v>
      </c>
      <c r="G22" s="65">
        <v>891</v>
      </c>
      <c r="H22" s="65" t="s">
        <v>2710</v>
      </c>
      <c r="I22" s="65" t="s">
        <v>2510</v>
      </c>
      <c r="J22" s="65" t="s">
        <v>2711</v>
      </c>
      <c r="K22" s="64"/>
      <c r="L22" s="66" t="s">
        <v>2712</v>
      </c>
    </row>
    <row r="23" spans="1:12">
      <c r="A23" s="67"/>
      <c r="B23" s="68"/>
      <c r="C23" s="68" t="s">
        <v>2713</v>
      </c>
      <c r="D23" s="69" t="s">
        <v>2714</v>
      </c>
      <c r="E23" s="69" t="s">
        <v>2576</v>
      </c>
      <c r="F23" s="69" t="s">
        <v>563</v>
      </c>
      <c r="G23" s="70">
        <v>892</v>
      </c>
      <c r="H23" s="70" t="s">
        <v>2715</v>
      </c>
      <c r="I23" s="70" t="s">
        <v>2510</v>
      </c>
      <c r="J23" s="70" t="s">
        <v>2716</v>
      </c>
      <c r="K23" s="69"/>
      <c r="L23" s="52"/>
    </row>
    <row r="24" spans="1:12">
      <c r="A24" s="63" t="s">
        <v>2717</v>
      </c>
      <c r="B24" s="64" t="s">
        <v>2718</v>
      </c>
      <c r="C24" s="64" t="s">
        <v>2719</v>
      </c>
      <c r="D24" s="64" t="s">
        <v>2720</v>
      </c>
      <c r="E24" s="64" t="s">
        <v>2576</v>
      </c>
      <c r="F24" s="64" t="s">
        <v>2602</v>
      </c>
      <c r="G24" s="65">
        <v>825</v>
      </c>
      <c r="H24" s="65" t="s">
        <v>2721</v>
      </c>
      <c r="I24" s="65" t="s">
        <v>2510</v>
      </c>
      <c r="J24" s="65" t="s">
        <v>2722</v>
      </c>
      <c r="K24" s="64"/>
      <c r="L24" s="66" t="s">
        <v>2723</v>
      </c>
    </row>
    <row r="25" spans="1:12">
      <c r="A25" s="63" t="s">
        <v>2724</v>
      </c>
      <c r="B25" s="64" t="s">
        <v>2725</v>
      </c>
      <c r="C25" s="64" t="s">
        <v>2726</v>
      </c>
      <c r="D25" s="64" t="s">
        <v>2727</v>
      </c>
      <c r="E25" s="64" t="s">
        <v>2576</v>
      </c>
      <c r="F25" s="64" t="s">
        <v>1248</v>
      </c>
      <c r="G25" s="65">
        <v>893</v>
      </c>
      <c r="H25" s="65" t="s">
        <v>2728</v>
      </c>
      <c r="I25" s="65" t="s">
        <v>2510</v>
      </c>
      <c r="J25" s="65" t="s">
        <v>2729</v>
      </c>
      <c r="K25" s="64"/>
      <c r="L25" s="71" t="s">
        <v>2730</v>
      </c>
    </row>
  </sheetData>
  <pageMargins left="0" right="0" top="0" bottom="0" header="0" footer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769F-CDE7-4E7C-A1AA-3AE46E6A37D9}">
  <dimension ref="A1:U43"/>
  <sheetViews>
    <sheetView topLeftCell="K1" workbookViewId="0">
      <selection activeCell="P19" sqref="P19"/>
    </sheetView>
  </sheetViews>
  <sheetFormatPr defaultRowHeight="12.75"/>
  <cols>
    <col min="1" max="1" width="15.140625" customWidth="1"/>
    <col min="2" max="2" width="26.85546875" customWidth="1"/>
    <col min="3" max="3" width="27.28515625" customWidth="1"/>
    <col min="4" max="4" width="13.140625" bestFit="1" customWidth="1"/>
    <col min="5" max="6" width="19.85546875" customWidth="1"/>
    <col min="7" max="7" width="2.28515625" style="123" customWidth="1"/>
    <col min="8" max="9" width="20.85546875" customWidth="1"/>
    <col min="10" max="10" width="27.5703125" bestFit="1" customWidth="1"/>
    <col min="11" max="11" width="13.85546875" customWidth="1"/>
    <col min="12" max="12" width="19.140625" customWidth="1"/>
    <col min="13" max="13" width="51.140625" bestFit="1" customWidth="1"/>
    <col min="14" max="14" width="2.140625" style="123" customWidth="1"/>
    <col min="15" max="15" width="22.28515625" customWidth="1"/>
    <col min="16" max="16" width="24.42578125" bestFit="1" customWidth="1"/>
    <col min="17" max="17" width="21.140625" customWidth="1"/>
    <col min="18" max="18" width="13.42578125" customWidth="1"/>
    <col min="19" max="19" width="14.7109375" customWidth="1"/>
    <col min="20" max="20" width="22.28515625" customWidth="1"/>
    <col min="21" max="21" width="2.28515625" style="123" customWidth="1"/>
  </cols>
  <sheetData>
    <row r="1" spans="1:20" ht="18.75">
      <c r="A1" s="209" t="s">
        <v>2731</v>
      </c>
      <c r="B1" s="209"/>
      <c r="C1" s="209"/>
      <c r="D1" s="209"/>
      <c r="E1" s="209"/>
      <c r="F1" s="209"/>
      <c r="H1" s="209" t="s">
        <v>2732</v>
      </c>
      <c r="I1" s="209"/>
      <c r="J1" s="209"/>
      <c r="K1" s="209"/>
      <c r="L1" s="209"/>
      <c r="M1" s="209"/>
      <c r="O1" s="209" t="s">
        <v>2733</v>
      </c>
      <c r="P1" s="209"/>
      <c r="Q1" s="209"/>
      <c r="R1" s="209"/>
      <c r="S1" s="209"/>
      <c r="T1" s="209"/>
    </row>
    <row r="2" spans="1:20">
      <c r="A2" t="s">
        <v>2734</v>
      </c>
      <c r="B2" t="s">
        <v>1964</v>
      </c>
      <c r="C2" t="s">
        <v>2274</v>
      </c>
      <c r="D2" t="s">
        <v>2735</v>
      </c>
      <c r="E2" t="s">
        <v>2736</v>
      </c>
      <c r="F2" t="s">
        <v>2737</v>
      </c>
      <c r="H2" t="s">
        <v>2734</v>
      </c>
      <c r="I2" t="s">
        <v>1964</v>
      </c>
      <c r="J2" t="s">
        <v>2274</v>
      </c>
      <c r="K2" t="s">
        <v>2735</v>
      </c>
      <c r="L2" t="s">
        <v>2736</v>
      </c>
      <c r="M2" t="s">
        <v>2737</v>
      </c>
      <c r="O2" t="s">
        <v>2734</v>
      </c>
      <c r="P2" t="s">
        <v>1964</v>
      </c>
      <c r="Q2" t="s">
        <v>2274</v>
      </c>
      <c r="R2" t="s">
        <v>2735</v>
      </c>
      <c r="S2" t="s">
        <v>2736</v>
      </c>
      <c r="T2" t="s">
        <v>2737</v>
      </c>
    </row>
    <row r="3" spans="1:20">
      <c r="H3" t="s">
        <v>2738</v>
      </c>
      <c r="I3" t="s">
        <v>2739</v>
      </c>
      <c r="J3" t="s">
        <v>2740</v>
      </c>
      <c r="K3">
        <v>1</v>
      </c>
      <c r="L3" t="s">
        <v>2741</v>
      </c>
      <c r="M3" t="s">
        <v>2742</v>
      </c>
      <c r="O3" t="s">
        <v>1364</v>
      </c>
      <c r="P3" t="s">
        <v>2743</v>
      </c>
      <c r="Q3">
        <v>2206130408</v>
      </c>
      <c r="R3">
        <v>1</v>
      </c>
      <c r="S3" t="s">
        <v>2733</v>
      </c>
    </row>
    <row r="4" spans="1:20">
      <c r="H4" t="s">
        <v>2738</v>
      </c>
      <c r="I4" t="s">
        <v>2739</v>
      </c>
      <c r="J4" t="s">
        <v>2744</v>
      </c>
      <c r="K4">
        <v>1</v>
      </c>
      <c r="L4" t="s">
        <v>2741</v>
      </c>
      <c r="M4" t="s">
        <v>2745</v>
      </c>
      <c r="O4" t="s">
        <v>1364</v>
      </c>
      <c r="P4" t="s">
        <v>2746</v>
      </c>
      <c r="Q4" s="191" t="s">
        <v>2747</v>
      </c>
      <c r="R4">
        <v>2</v>
      </c>
      <c r="S4" t="s">
        <v>2733</v>
      </c>
    </row>
    <row r="5" spans="1:20">
      <c r="H5" t="s">
        <v>2748</v>
      </c>
      <c r="I5" t="s">
        <v>2319</v>
      </c>
      <c r="J5" t="s">
        <v>2749</v>
      </c>
      <c r="K5">
        <v>1</v>
      </c>
      <c r="L5" t="s">
        <v>2750</v>
      </c>
      <c r="M5" t="s">
        <v>2751</v>
      </c>
      <c r="O5" t="s">
        <v>1998</v>
      </c>
      <c r="P5" t="s">
        <v>2752</v>
      </c>
      <c r="Q5" s="191" t="s">
        <v>2747</v>
      </c>
      <c r="R5">
        <v>16</v>
      </c>
      <c r="S5" t="s">
        <v>2753</v>
      </c>
    </row>
    <row r="6" spans="1:20">
      <c r="H6" t="s">
        <v>2748</v>
      </c>
      <c r="I6" t="s">
        <v>2319</v>
      </c>
      <c r="J6" t="s">
        <v>2754</v>
      </c>
      <c r="K6">
        <v>1</v>
      </c>
      <c r="L6" t="s">
        <v>2750</v>
      </c>
      <c r="M6" t="s">
        <v>2751</v>
      </c>
      <c r="O6" t="s">
        <v>1998</v>
      </c>
      <c r="P6" t="s">
        <v>2755</v>
      </c>
      <c r="Q6" s="191" t="s">
        <v>2747</v>
      </c>
      <c r="R6">
        <v>1</v>
      </c>
      <c r="S6" t="s">
        <v>2753</v>
      </c>
    </row>
    <row r="7" spans="1:20">
      <c r="H7" t="s">
        <v>2748</v>
      </c>
      <c r="I7" t="s">
        <v>2319</v>
      </c>
      <c r="J7" t="s">
        <v>2756</v>
      </c>
      <c r="K7">
        <v>1</v>
      </c>
      <c r="L7" t="s">
        <v>2750</v>
      </c>
      <c r="M7" t="s">
        <v>2751</v>
      </c>
      <c r="O7" t="s">
        <v>1998</v>
      </c>
      <c r="P7" t="s">
        <v>2757</v>
      </c>
      <c r="Q7" s="191" t="s">
        <v>2747</v>
      </c>
      <c r="R7">
        <v>1</v>
      </c>
      <c r="S7" t="s">
        <v>2753</v>
      </c>
    </row>
    <row r="8" spans="1:20">
      <c r="H8" t="s">
        <v>2748</v>
      </c>
      <c r="I8" t="s">
        <v>2319</v>
      </c>
      <c r="J8" t="s">
        <v>2758</v>
      </c>
      <c r="K8">
        <v>1</v>
      </c>
      <c r="L8" t="s">
        <v>2750</v>
      </c>
      <c r="M8" t="s">
        <v>2751</v>
      </c>
      <c r="O8" t="s">
        <v>1998</v>
      </c>
      <c r="P8" t="s">
        <v>2759</v>
      </c>
      <c r="Q8" s="191" t="s">
        <v>2747</v>
      </c>
      <c r="R8">
        <v>1</v>
      </c>
      <c r="S8" t="s">
        <v>2753</v>
      </c>
    </row>
    <row r="9" spans="1:20">
      <c r="H9" t="s">
        <v>2748</v>
      </c>
      <c r="I9" t="s">
        <v>2319</v>
      </c>
      <c r="J9" t="s">
        <v>2760</v>
      </c>
      <c r="K9">
        <v>1</v>
      </c>
      <c r="L9" t="s">
        <v>2750</v>
      </c>
      <c r="M9" t="s">
        <v>2761</v>
      </c>
      <c r="O9" t="s">
        <v>1998</v>
      </c>
      <c r="P9" t="s">
        <v>2762</v>
      </c>
      <c r="Q9" s="191" t="s">
        <v>2747</v>
      </c>
      <c r="R9">
        <v>1</v>
      </c>
      <c r="S9" t="s">
        <v>2753</v>
      </c>
    </row>
    <row r="10" spans="1:20">
      <c r="H10" t="s">
        <v>2748</v>
      </c>
      <c r="I10" t="s">
        <v>2319</v>
      </c>
      <c r="J10" t="s">
        <v>2438</v>
      </c>
      <c r="K10">
        <v>1</v>
      </c>
      <c r="L10" t="s">
        <v>2750</v>
      </c>
      <c r="M10" t="s">
        <v>2751</v>
      </c>
      <c r="O10" t="s">
        <v>1998</v>
      </c>
      <c r="P10" t="s">
        <v>2763</v>
      </c>
      <c r="Q10" s="191" t="s">
        <v>2747</v>
      </c>
      <c r="R10">
        <v>2</v>
      </c>
      <c r="S10" t="s">
        <v>2753</v>
      </c>
    </row>
    <row r="11" spans="1:20">
      <c r="H11" t="s">
        <v>2748</v>
      </c>
      <c r="I11" t="s">
        <v>2319</v>
      </c>
      <c r="J11" t="s">
        <v>2764</v>
      </c>
      <c r="K11">
        <v>1</v>
      </c>
      <c r="L11" t="s">
        <v>2750</v>
      </c>
      <c r="M11" t="s">
        <v>2751</v>
      </c>
      <c r="O11" t="s">
        <v>1998</v>
      </c>
      <c r="P11" t="s">
        <v>2765</v>
      </c>
      <c r="Q11" s="191" t="s">
        <v>2747</v>
      </c>
      <c r="R11">
        <v>3</v>
      </c>
      <c r="S11" t="s">
        <v>2753</v>
      </c>
    </row>
    <row r="12" spans="1:20">
      <c r="H12" t="s">
        <v>2748</v>
      </c>
      <c r="I12" t="s">
        <v>2319</v>
      </c>
      <c r="J12" t="s">
        <v>2293</v>
      </c>
      <c r="K12">
        <v>1</v>
      </c>
      <c r="L12" t="s">
        <v>2750</v>
      </c>
      <c r="M12" t="s">
        <v>2751</v>
      </c>
      <c r="O12" t="s">
        <v>1998</v>
      </c>
      <c r="P12" t="s">
        <v>2766</v>
      </c>
      <c r="Q12" s="191" t="s">
        <v>2747</v>
      </c>
      <c r="R12">
        <v>1</v>
      </c>
      <c r="S12" t="s">
        <v>2753</v>
      </c>
    </row>
    <row r="13" spans="1:20">
      <c r="H13" t="s">
        <v>2748</v>
      </c>
      <c r="I13" t="s">
        <v>2319</v>
      </c>
      <c r="J13" t="s">
        <v>2358</v>
      </c>
      <c r="K13">
        <v>1</v>
      </c>
      <c r="L13" t="s">
        <v>2750</v>
      </c>
      <c r="M13" t="s">
        <v>2751</v>
      </c>
      <c r="O13" t="s">
        <v>1998</v>
      </c>
      <c r="P13" t="s">
        <v>2767</v>
      </c>
      <c r="Q13" s="191" t="s">
        <v>2747</v>
      </c>
      <c r="R13">
        <v>1</v>
      </c>
      <c r="S13" t="s">
        <v>2753</v>
      </c>
    </row>
    <row r="14" spans="1:20">
      <c r="H14" t="s">
        <v>2748</v>
      </c>
      <c r="I14" t="s">
        <v>2319</v>
      </c>
      <c r="J14" t="s">
        <v>2768</v>
      </c>
      <c r="K14">
        <v>1</v>
      </c>
      <c r="L14" t="s">
        <v>2750</v>
      </c>
      <c r="M14" t="s">
        <v>2751</v>
      </c>
      <c r="O14" s="192" t="s">
        <v>1998</v>
      </c>
      <c r="P14" s="193" t="s">
        <v>2769</v>
      </c>
      <c r="Q14" s="194" t="s">
        <v>2747</v>
      </c>
      <c r="R14" s="193">
        <v>1</v>
      </c>
      <c r="S14" s="193" t="s">
        <v>2753</v>
      </c>
    </row>
    <row r="15" spans="1:20">
      <c r="H15" t="s">
        <v>2748</v>
      </c>
      <c r="I15" t="s">
        <v>2319</v>
      </c>
      <c r="J15" t="s">
        <v>2770</v>
      </c>
      <c r="K15">
        <v>1</v>
      </c>
      <c r="L15" t="s">
        <v>2750</v>
      </c>
      <c r="M15" t="s">
        <v>2751</v>
      </c>
      <c r="O15" s="195" t="s">
        <v>1998</v>
      </c>
      <c r="P15" s="196" t="s">
        <v>2771</v>
      </c>
      <c r="Q15" s="197" t="s">
        <v>2747</v>
      </c>
      <c r="R15" s="196">
        <v>2</v>
      </c>
      <c r="S15" s="196" t="s">
        <v>2753</v>
      </c>
    </row>
    <row r="16" spans="1:20">
      <c r="H16" t="s">
        <v>2748</v>
      </c>
      <c r="I16" t="s">
        <v>2319</v>
      </c>
      <c r="J16" t="s">
        <v>2320</v>
      </c>
      <c r="K16">
        <v>1</v>
      </c>
      <c r="L16" t="s">
        <v>2750</v>
      </c>
      <c r="M16" t="s">
        <v>2751</v>
      </c>
      <c r="O16" s="192" t="s">
        <v>1998</v>
      </c>
      <c r="P16" s="193" t="s">
        <v>2772</v>
      </c>
      <c r="Q16" s="194" t="s">
        <v>2747</v>
      </c>
      <c r="R16" s="193">
        <v>13</v>
      </c>
      <c r="S16" s="193" t="s">
        <v>2753</v>
      </c>
    </row>
    <row r="17" spans="8:19">
      <c r="H17" t="s">
        <v>2748</v>
      </c>
      <c r="I17" t="s">
        <v>2319</v>
      </c>
      <c r="J17" t="s">
        <v>2773</v>
      </c>
      <c r="K17">
        <v>1</v>
      </c>
      <c r="L17" t="s">
        <v>2750</v>
      </c>
      <c r="M17" t="s">
        <v>2751</v>
      </c>
      <c r="O17" s="195" t="s">
        <v>1998</v>
      </c>
      <c r="P17" s="196" t="s">
        <v>2774</v>
      </c>
      <c r="Q17" s="197" t="s">
        <v>2747</v>
      </c>
      <c r="R17" s="196">
        <v>7</v>
      </c>
      <c r="S17" s="196" t="s">
        <v>2753</v>
      </c>
    </row>
    <row r="18" spans="8:19">
      <c r="H18" t="s">
        <v>2748</v>
      </c>
      <c r="I18" t="s">
        <v>2319</v>
      </c>
      <c r="J18" t="s">
        <v>2324</v>
      </c>
      <c r="K18">
        <v>1</v>
      </c>
      <c r="L18" t="s">
        <v>2750</v>
      </c>
      <c r="M18" t="s">
        <v>2751</v>
      </c>
      <c r="O18" s="192" t="s">
        <v>1998</v>
      </c>
      <c r="P18" s="193" t="s">
        <v>2775</v>
      </c>
      <c r="Q18" s="194" t="s">
        <v>2747</v>
      </c>
      <c r="R18" s="193">
        <v>21</v>
      </c>
      <c r="S18" s="193" t="s">
        <v>2753</v>
      </c>
    </row>
    <row r="19" spans="8:19">
      <c r="H19" t="s">
        <v>2748</v>
      </c>
      <c r="I19" t="s">
        <v>2776</v>
      </c>
      <c r="J19" t="s">
        <v>2777</v>
      </c>
      <c r="K19">
        <v>1</v>
      </c>
      <c r="L19" t="s">
        <v>2750</v>
      </c>
      <c r="M19" t="s">
        <v>2778</v>
      </c>
      <c r="O19" s="195" t="s">
        <v>1998</v>
      </c>
      <c r="P19" s="196" t="s">
        <v>2779</v>
      </c>
      <c r="Q19" s="197" t="s">
        <v>2747</v>
      </c>
      <c r="R19" s="196">
        <v>4</v>
      </c>
      <c r="S19" s="196" t="s">
        <v>2753</v>
      </c>
    </row>
    <row r="20" spans="8:19">
      <c r="H20" t="s">
        <v>2748</v>
      </c>
      <c r="I20" t="s">
        <v>2780</v>
      </c>
      <c r="J20" t="s">
        <v>2450</v>
      </c>
      <c r="K20">
        <v>1</v>
      </c>
      <c r="L20" t="s">
        <v>2781</v>
      </c>
      <c r="M20" t="s">
        <v>2751</v>
      </c>
      <c r="O20" s="192" t="s">
        <v>1998</v>
      </c>
      <c r="P20" s="193" t="s">
        <v>2782</v>
      </c>
      <c r="Q20" s="194" t="s">
        <v>2747</v>
      </c>
      <c r="R20" s="193">
        <v>8</v>
      </c>
      <c r="S20" s="193" t="s">
        <v>2753</v>
      </c>
    </row>
    <row r="21" spans="8:19">
      <c r="H21" t="s">
        <v>2748</v>
      </c>
      <c r="I21" t="s">
        <v>2780</v>
      </c>
      <c r="J21" t="s">
        <v>2409</v>
      </c>
      <c r="K21">
        <v>1</v>
      </c>
      <c r="L21" t="s">
        <v>2781</v>
      </c>
      <c r="M21" t="s">
        <v>2751</v>
      </c>
      <c r="O21" s="195" t="s">
        <v>1998</v>
      </c>
      <c r="P21" s="196" t="s">
        <v>2783</v>
      </c>
      <c r="Q21" s="197" t="s">
        <v>2747</v>
      </c>
      <c r="R21" s="196">
        <v>3</v>
      </c>
      <c r="S21" s="196" t="s">
        <v>2753</v>
      </c>
    </row>
    <row r="22" spans="8:19">
      <c r="H22" t="s">
        <v>2748</v>
      </c>
      <c r="I22" t="s">
        <v>2780</v>
      </c>
      <c r="J22" t="s">
        <v>2384</v>
      </c>
      <c r="K22">
        <v>1</v>
      </c>
      <c r="L22" t="s">
        <v>2781</v>
      </c>
      <c r="M22" t="s">
        <v>2751</v>
      </c>
      <c r="O22" s="192" t="s">
        <v>1998</v>
      </c>
      <c r="P22" s="193" t="s">
        <v>2784</v>
      </c>
      <c r="Q22" s="194" t="s">
        <v>2747</v>
      </c>
      <c r="R22" s="193">
        <v>16</v>
      </c>
      <c r="S22" s="193" t="s">
        <v>2753</v>
      </c>
    </row>
    <row r="23" spans="8:19">
      <c r="H23" t="s">
        <v>2748</v>
      </c>
      <c r="I23" t="s">
        <v>2780</v>
      </c>
      <c r="J23" t="s">
        <v>2785</v>
      </c>
      <c r="K23">
        <v>1</v>
      </c>
      <c r="L23" t="s">
        <v>2781</v>
      </c>
      <c r="M23" t="s">
        <v>2751</v>
      </c>
      <c r="O23" s="195" t="s">
        <v>1998</v>
      </c>
      <c r="P23" s="196" t="s">
        <v>2786</v>
      </c>
      <c r="Q23" s="197" t="s">
        <v>2747</v>
      </c>
      <c r="R23" s="196">
        <v>7</v>
      </c>
      <c r="S23" s="196" t="s">
        <v>2753</v>
      </c>
    </row>
    <row r="24" spans="8:19">
      <c r="H24" t="s">
        <v>2748</v>
      </c>
      <c r="I24" t="s">
        <v>2780</v>
      </c>
      <c r="J24" t="s">
        <v>2470</v>
      </c>
      <c r="K24">
        <v>1</v>
      </c>
      <c r="L24" t="s">
        <v>2781</v>
      </c>
      <c r="M24" t="s">
        <v>2751</v>
      </c>
      <c r="Q24" s="191"/>
    </row>
    <row r="25" spans="8:19">
      <c r="H25" t="s">
        <v>2748</v>
      </c>
      <c r="I25" t="s">
        <v>2780</v>
      </c>
      <c r="J25" t="s">
        <v>2405</v>
      </c>
      <c r="K25">
        <v>1</v>
      </c>
      <c r="L25" t="s">
        <v>2781</v>
      </c>
      <c r="M25" t="s">
        <v>2751</v>
      </c>
      <c r="Q25" s="191"/>
    </row>
    <row r="26" spans="8:19">
      <c r="H26" t="s">
        <v>2748</v>
      </c>
      <c r="I26" t="s">
        <v>2780</v>
      </c>
      <c r="J26" t="s">
        <v>2787</v>
      </c>
      <c r="K26">
        <v>1</v>
      </c>
      <c r="L26" t="s">
        <v>2781</v>
      </c>
      <c r="M26" t="s">
        <v>2751</v>
      </c>
    </row>
    <row r="27" spans="8:19">
      <c r="H27" t="s">
        <v>2748</v>
      </c>
      <c r="I27" t="s">
        <v>2780</v>
      </c>
      <c r="J27" t="s">
        <v>2458</v>
      </c>
      <c r="K27">
        <v>1</v>
      </c>
      <c r="L27" t="s">
        <v>2788</v>
      </c>
      <c r="M27" t="s">
        <v>2751</v>
      </c>
    </row>
    <row r="28" spans="8:19">
      <c r="H28" t="s">
        <v>2748</v>
      </c>
      <c r="I28" t="s">
        <v>2780</v>
      </c>
      <c r="J28" t="s">
        <v>2789</v>
      </c>
      <c r="K28">
        <v>1</v>
      </c>
      <c r="L28" t="s">
        <v>2788</v>
      </c>
      <c r="M28" t="s">
        <v>2751</v>
      </c>
    </row>
    <row r="29" spans="8:19">
      <c r="H29" t="s">
        <v>2748</v>
      </c>
      <c r="I29" t="s">
        <v>2780</v>
      </c>
      <c r="J29" t="s">
        <v>2462</v>
      </c>
      <c r="K29">
        <v>1</v>
      </c>
      <c r="L29" t="s">
        <v>2788</v>
      </c>
      <c r="M29" t="s">
        <v>2751</v>
      </c>
    </row>
    <row r="30" spans="8:19">
      <c r="H30" t="s">
        <v>2748</v>
      </c>
      <c r="I30" t="s">
        <v>2780</v>
      </c>
      <c r="J30" t="s">
        <v>2331</v>
      </c>
      <c r="K30">
        <v>1</v>
      </c>
      <c r="L30" t="s">
        <v>2788</v>
      </c>
      <c r="M30" t="s">
        <v>2751</v>
      </c>
    </row>
    <row r="31" spans="8:19">
      <c r="H31" t="s">
        <v>2748</v>
      </c>
      <c r="I31" t="s">
        <v>2780</v>
      </c>
      <c r="J31" t="s">
        <v>2365</v>
      </c>
      <c r="K31">
        <v>1</v>
      </c>
      <c r="L31" t="s">
        <v>2788</v>
      </c>
      <c r="M31" t="s">
        <v>2751</v>
      </c>
    </row>
    <row r="32" spans="8:19">
      <c r="H32" t="s">
        <v>2748</v>
      </c>
      <c r="I32" t="s">
        <v>2790</v>
      </c>
      <c r="J32" t="s">
        <v>2791</v>
      </c>
      <c r="K32">
        <v>1</v>
      </c>
      <c r="L32" t="s">
        <v>2788</v>
      </c>
      <c r="M32" t="s">
        <v>2792</v>
      </c>
    </row>
    <row r="33" spans="8:13">
      <c r="H33" t="s">
        <v>2748</v>
      </c>
      <c r="I33" t="s">
        <v>2780</v>
      </c>
      <c r="J33" t="s">
        <v>2793</v>
      </c>
      <c r="K33">
        <v>1</v>
      </c>
      <c r="L33" t="s">
        <v>2794</v>
      </c>
      <c r="M33" t="s">
        <v>2751</v>
      </c>
    </row>
    <row r="34" spans="8:13">
      <c r="H34" t="s">
        <v>2748</v>
      </c>
      <c r="I34" t="s">
        <v>2780</v>
      </c>
      <c r="J34" t="s">
        <v>2430</v>
      </c>
      <c r="K34">
        <v>1</v>
      </c>
      <c r="L34" t="s">
        <v>2794</v>
      </c>
      <c r="M34" t="s">
        <v>2751</v>
      </c>
    </row>
    <row r="35" spans="8:13">
      <c r="H35" t="s">
        <v>2748</v>
      </c>
      <c r="I35" t="s">
        <v>2780</v>
      </c>
      <c r="J35" t="s">
        <v>2346</v>
      </c>
      <c r="K35">
        <v>1</v>
      </c>
      <c r="L35" t="s">
        <v>2794</v>
      </c>
      <c r="M35" t="s">
        <v>2751</v>
      </c>
    </row>
    <row r="36" spans="8:13">
      <c r="H36" t="s">
        <v>2748</v>
      </c>
      <c r="I36" t="s">
        <v>2780</v>
      </c>
      <c r="J36" t="s">
        <v>2380</v>
      </c>
      <c r="K36">
        <v>1</v>
      </c>
      <c r="L36" t="s">
        <v>2794</v>
      </c>
      <c r="M36" t="s">
        <v>2751</v>
      </c>
    </row>
    <row r="37" spans="8:13">
      <c r="H37" t="s">
        <v>2748</v>
      </c>
      <c r="I37" t="s">
        <v>2780</v>
      </c>
      <c r="J37" t="s">
        <v>2394</v>
      </c>
      <c r="K37">
        <v>1</v>
      </c>
      <c r="L37" t="s">
        <v>2794</v>
      </c>
      <c r="M37" t="s">
        <v>2751</v>
      </c>
    </row>
    <row r="38" spans="8:13">
      <c r="H38" t="s">
        <v>2748</v>
      </c>
      <c r="I38" t="s">
        <v>2780</v>
      </c>
      <c r="J38" t="s">
        <v>2466</v>
      </c>
      <c r="K38">
        <v>1</v>
      </c>
      <c r="L38" t="s">
        <v>2794</v>
      </c>
      <c r="M38" t="s">
        <v>2751</v>
      </c>
    </row>
    <row r="39" spans="8:13">
      <c r="H39" t="s">
        <v>2748</v>
      </c>
      <c r="I39" t="s">
        <v>2780</v>
      </c>
      <c r="J39" t="s">
        <v>2423</v>
      </c>
      <c r="K39">
        <v>1</v>
      </c>
      <c r="L39" t="s">
        <v>2794</v>
      </c>
      <c r="M39" t="s">
        <v>2751</v>
      </c>
    </row>
    <row r="40" spans="8:13">
      <c r="H40" t="s">
        <v>2748</v>
      </c>
      <c r="I40" t="s">
        <v>2780</v>
      </c>
      <c r="J40" t="s">
        <v>2361</v>
      </c>
      <c r="K40">
        <v>1</v>
      </c>
      <c r="L40" t="s">
        <v>2794</v>
      </c>
      <c r="M40" t="s">
        <v>2751</v>
      </c>
    </row>
    <row r="41" spans="8:13">
      <c r="H41" t="s">
        <v>1984</v>
      </c>
      <c r="I41" t="s">
        <v>2795</v>
      </c>
      <c r="J41" t="s">
        <v>2796</v>
      </c>
      <c r="K41">
        <v>1</v>
      </c>
      <c r="L41" t="s">
        <v>2797</v>
      </c>
      <c r="M41" t="s">
        <v>2751</v>
      </c>
    </row>
    <row r="42" spans="8:13">
      <c r="H42" t="s">
        <v>2798</v>
      </c>
      <c r="I42" t="s">
        <v>2799</v>
      </c>
      <c r="J42" t="s">
        <v>2800</v>
      </c>
      <c r="K42" t="s">
        <v>2747</v>
      </c>
      <c r="L42" t="s">
        <v>2801</v>
      </c>
      <c r="M42" t="s">
        <v>2802</v>
      </c>
    </row>
    <row r="43" spans="8:13">
      <c r="H43" t="s">
        <v>2803</v>
      </c>
      <c r="I43" t="s">
        <v>2804</v>
      </c>
      <c r="J43" t="s">
        <v>2800</v>
      </c>
      <c r="K43" t="s">
        <v>2747</v>
      </c>
      <c r="L43" t="s">
        <v>2805</v>
      </c>
      <c r="M43" t="s">
        <v>2806</v>
      </c>
    </row>
  </sheetData>
  <mergeCells count="3">
    <mergeCell ref="A1:F1"/>
    <mergeCell ref="H1:M1"/>
    <mergeCell ref="O1:T1"/>
  </mergeCells>
  <pageMargins left="0.7" right="0.7" top="0.75" bottom="0.75" header="0.3" footer="0.3"/>
  <tableParts count="3">
    <tablePart r:id="rId1"/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b56f6c80-7107-4b47-a447-1a714a4e1e9f}" enabled="0" method="" siteId="{b56f6c80-7107-4b47-a447-1a714a4e1e9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2025-05-29T20:02:38Z</dcterms:created>
  <dcterms:modified xsi:type="dcterms:W3CDTF">2026-04-07T17:41:22Z</dcterms:modified>
  <cp:category/>
  <cp:contentStatus/>
</cp:coreProperties>
</file>